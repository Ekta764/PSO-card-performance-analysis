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tajethwani/Downloads/"/>
    </mc:Choice>
  </mc:AlternateContent>
  <xr:revisionPtr revIDLastSave="0" documentId="13_ncr:1_{CA7321B1-4E0F-894C-8AA9-AA2EA2701EBD}" xr6:coauthVersionLast="47" xr6:coauthVersionMax="47" xr10:uidLastSave="{00000000-0000-0000-0000-000000000000}"/>
  <bookViews>
    <workbookView xWindow="0" yWindow="0" windowWidth="28800" windowHeight="18000" xr2:uid="{81A1E76D-C8F6-47DF-BF42-284DF9A4B540}"/>
  </bookViews>
  <sheets>
    <sheet name="DATA" sheetId="2" r:id="rId1"/>
    <sheet name="sales ltr and Rs" sheetId="15" r:id="rId2"/>
    <sheet name="Receivables" sheetId="3" r:id="rId3"/>
    <sheet name="Gross Earnings" sheetId="4" r:id="rId4"/>
    <sheet name="Volumetric Sale" sheetId="6" r:id="rId5"/>
    <sheet name="fuellink portal user" sheetId="7" r:id="rId6"/>
    <sheet name="No. of New Account" sheetId="8" r:id="rId7"/>
    <sheet name="Transactions" sheetId="10" r:id="rId8"/>
    <sheet name="Smart POS" sheetId="12" r:id="rId9"/>
    <sheet name="Merchant " sheetId="13" r:id="rId10"/>
    <sheet name="bank cards sale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5" l="1"/>
  <c r="H44" i="15"/>
  <c r="G44" i="15"/>
  <c r="F44" i="15"/>
  <c r="E44" i="15"/>
  <c r="D44" i="15"/>
  <c r="C44" i="15"/>
  <c r="B44" i="15"/>
  <c r="I26" i="15" l="1"/>
  <c r="H26" i="15"/>
  <c r="G26" i="15"/>
  <c r="F26" i="15"/>
  <c r="E26" i="15"/>
  <c r="D26" i="15"/>
  <c r="C26" i="15"/>
  <c r="B26" i="15"/>
  <c r="L25" i="3"/>
  <c r="L24" i="3"/>
  <c r="L23" i="3"/>
  <c r="L22" i="3"/>
  <c r="L21" i="3"/>
  <c r="L20" i="3"/>
  <c r="L19" i="3"/>
  <c r="L18" i="3"/>
  <c r="L17" i="3"/>
  <c r="L16" i="3"/>
  <c r="L15" i="3"/>
  <c r="L14" i="3"/>
  <c r="E25" i="3" l="1"/>
  <c r="E24" i="3"/>
  <c r="E23" i="3"/>
  <c r="C22" i="3"/>
  <c r="E22" i="3" s="1"/>
  <c r="E21" i="3"/>
  <c r="E20" i="3"/>
  <c r="C19" i="3"/>
  <c r="E19" i="3" s="1"/>
  <c r="E18" i="3"/>
  <c r="E17" i="3"/>
  <c r="E16" i="3"/>
  <c r="E15" i="3"/>
  <c r="E14" i="3"/>
  <c r="I8" i="3" l="1"/>
  <c r="H8" i="3"/>
  <c r="G8" i="3"/>
  <c r="F8" i="3"/>
  <c r="E8" i="3"/>
  <c r="D8" i="3"/>
  <c r="C8" i="3"/>
  <c r="B8" i="3"/>
  <c r="J7" i="3"/>
  <c r="J6" i="3"/>
  <c r="J8" i="3" s="1"/>
  <c r="L9" i="15" l="1"/>
  <c r="K9" i="15"/>
  <c r="J9" i="15"/>
  <c r="G9" i="15"/>
  <c r="D9" i="15"/>
  <c r="L8" i="15"/>
  <c r="K8" i="15"/>
  <c r="J8" i="15"/>
  <c r="G8" i="15"/>
  <c r="D8" i="15"/>
  <c r="L7" i="15"/>
  <c r="K7" i="15"/>
  <c r="J7" i="15"/>
  <c r="G7" i="15"/>
  <c r="D7" i="15"/>
  <c r="L6" i="15"/>
  <c r="K6" i="15"/>
  <c r="J6" i="15"/>
  <c r="G6" i="15"/>
  <c r="D6" i="15"/>
  <c r="L5" i="15"/>
  <c r="K5" i="15"/>
  <c r="J5" i="15"/>
  <c r="G5" i="15"/>
  <c r="D5" i="15"/>
  <c r="L4" i="15"/>
  <c r="K4" i="15"/>
  <c r="J4" i="15"/>
  <c r="G4" i="15"/>
  <c r="D4" i="15"/>
  <c r="L3" i="15"/>
  <c r="K3" i="15"/>
  <c r="J3" i="15"/>
  <c r="G3" i="15"/>
  <c r="D3" i="15"/>
  <c r="H19" i="14" l="1"/>
  <c r="K19" i="14" s="1"/>
  <c r="M36" i="6"/>
  <c r="L36" i="6"/>
  <c r="K36" i="6"/>
  <c r="J36" i="6"/>
  <c r="I36" i="6"/>
  <c r="H36" i="6"/>
  <c r="G36" i="6"/>
  <c r="F36" i="6"/>
  <c r="E36" i="6"/>
  <c r="D36" i="6"/>
  <c r="C36" i="6"/>
  <c r="B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B16" i="13"/>
  <c r="B7" i="13"/>
  <c r="O36" i="6" l="1"/>
  <c r="N36" i="6"/>
  <c r="I6" i="12"/>
  <c r="H6" i="12"/>
  <c r="G6" i="12"/>
  <c r="D6" i="12"/>
  <c r="C6" i="12"/>
  <c r="B6" i="12"/>
  <c r="G12" i="10"/>
  <c r="E12" i="10"/>
  <c r="B12" i="10"/>
  <c r="G32" i="4"/>
  <c r="F32" i="4"/>
  <c r="E32" i="4"/>
  <c r="D32" i="4"/>
  <c r="H32" i="4" s="1"/>
  <c r="C32" i="4"/>
  <c r="B32" i="4"/>
  <c r="H31" i="4"/>
  <c r="J31" i="4" s="1"/>
  <c r="H30" i="4"/>
  <c r="J30" i="4" s="1"/>
  <c r="H29" i="4"/>
  <c r="J29" i="4" s="1"/>
  <c r="J28" i="4"/>
  <c r="J27" i="4"/>
  <c r="J26" i="4"/>
  <c r="J25" i="4"/>
  <c r="J24" i="4"/>
  <c r="J23" i="4"/>
  <c r="J22" i="4"/>
  <c r="J21" i="4"/>
  <c r="J20" i="4"/>
  <c r="K16" i="6" l="1"/>
  <c r="J16" i="6"/>
  <c r="I16" i="6"/>
  <c r="H16" i="6"/>
  <c r="G16" i="6"/>
  <c r="F16" i="6"/>
  <c r="E16" i="6"/>
  <c r="D16" i="6"/>
  <c r="C16" i="6"/>
  <c r="B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F15" i="4"/>
  <c r="E15" i="4"/>
  <c r="D15" i="4"/>
  <c r="C15" i="4"/>
  <c r="B15" i="4"/>
  <c r="G14" i="4"/>
  <c r="I14" i="4" s="1"/>
  <c r="G13" i="4"/>
  <c r="I13" i="4" s="1"/>
  <c r="G12" i="4"/>
  <c r="I12" i="4" s="1"/>
  <c r="G11" i="4"/>
  <c r="I11" i="4" s="1"/>
  <c r="G10" i="4"/>
  <c r="I10" i="4" s="1"/>
  <c r="G9" i="4"/>
  <c r="I9" i="4" s="1"/>
  <c r="G8" i="4"/>
  <c r="I8" i="4" s="1"/>
  <c r="G7" i="4"/>
  <c r="I7" i="4" s="1"/>
  <c r="G6" i="4"/>
  <c r="I6" i="4" s="1"/>
  <c r="G5" i="4"/>
  <c r="I5" i="4" s="1"/>
  <c r="G4" i="4"/>
  <c r="I4" i="4" s="1"/>
  <c r="G3" i="4"/>
  <c r="I3" i="4" s="1"/>
  <c r="G15" i="4" l="1"/>
  <c r="L16" i="6"/>
  <c r="M16" i="6"/>
</calcChain>
</file>

<file path=xl/sharedStrings.xml><?xml version="1.0" encoding="utf-8"?>
<sst xmlns="http://schemas.openxmlformats.org/spreadsheetml/2006/main" count="272" uniqueCount="145">
  <si>
    <t>DATA</t>
  </si>
  <si>
    <t xml:space="preserve">Sr. </t>
  </si>
  <si>
    <t>Dealer MDR</t>
  </si>
  <si>
    <t>LPS Balance Amount</t>
  </si>
  <si>
    <t>APP. Deduction Balance Amount</t>
  </si>
  <si>
    <t>GOP</t>
  </si>
  <si>
    <t>FY2023</t>
  </si>
  <si>
    <t>FY2024</t>
  </si>
  <si>
    <t>Receivables (Rs. Mn)</t>
  </si>
  <si>
    <t>Var +/-</t>
  </si>
  <si>
    <t>Var %</t>
  </si>
  <si>
    <t>Region</t>
  </si>
  <si>
    <t>Central</t>
  </si>
  <si>
    <t>North</t>
  </si>
  <si>
    <t>South</t>
  </si>
  <si>
    <t>Sales (Liters, Mn)</t>
  </si>
  <si>
    <t>Service Charges (Rs. Mn)</t>
  </si>
  <si>
    <t>Membership Fee (Rs. Mn)</t>
  </si>
  <si>
    <t>LPS Balance (Rs. Mn)</t>
  </si>
  <si>
    <t>APP Deduction Balance (Rs. Mn)</t>
  </si>
  <si>
    <t>Transactions (Mn)</t>
  </si>
  <si>
    <t>POS Pending Requests</t>
  </si>
  <si>
    <t>FNCC Customers</t>
  </si>
  <si>
    <t>B2B Reloadable Customers</t>
  </si>
  <si>
    <t>Bank Card Sales</t>
  </si>
  <si>
    <t>MDR (Rs. Mn)</t>
  </si>
  <si>
    <t>Sales (Rs. Bn)</t>
  </si>
  <si>
    <t>Gross Earning (Rs. Mn)</t>
  </si>
  <si>
    <t>Smart POS terminal</t>
  </si>
  <si>
    <t>GROSS EARNING FY 23-24</t>
  </si>
  <si>
    <t>Month</t>
  </si>
  <si>
    <t>Service Charges</t>
  </si>
  <si>
    <t>Member Ship</t>
  </si>
  <si>
    <t>TOTAL (Revenue Achived FY-23-24)</t>
  </si>
  <si>
    <t>TOTAL (Revenue Target @ Par FY-23-24)</t>
  </si>
  <si>
    <t>TOTAL</t>
  </si>
  <si>
    <t>F&amp;CC</t>
  </si>
  <si>
    <t>B2B</t>
  </si>
  <si>
    <t>Grand Total</t>
  </si>
  <si>
    <t xml:space="preserve">Volumetric Sale </t>
  </si>
  <si>
    <t>Program Wise Volumetric Sale</t>
  </si>
  <si>
    <t>Volumetric Sale</t>
  </si>
  <si>
    <t>Fleet</t>
  </si>
  <si>
    <t>Corporate</t>
  </si>
  <si>
    <t>Commercial</t>
  </si>
  <si>
    <t>Cartage Contractor</t>
  </si>
  <si>
    <t>B2B Prepaid</t>
  </si>
  <si>
    <t>Ltr TY</t>
  </si>
  <si>
    <t>Ltr LY</t>
  </si>
  <si>
    <t>Total TY</t>
  </si>
  <si>
    <t>Total LY</t>
  </si>
  <si>
    <t>FY2022</t>
  </si>
  <si>
    <t>FY-2019</t>
  </si>
  <si>
    <t>FY-2020</t>
  </si>
  <si>
    <t>FY-2021</t>
  </si>
  <si>
    <t>FY-2022</t>
  </si>
  <si>
    <t>FY-2023</t>
  </si>
  <si>
    <t>FY-2024</t>
  </si>
  <si>
    <t>Total Fuelink Users</t>
  </si>
  <si>
    <t>CENTRAL</t>
  </si>
  <si>
    <t>NORTH</t>
  </si>
  <si>
    <t>SOUTH</t>
  </si>
  <si>
    <t>GROSS EARNING FROM Jul-22 to jun-23</t>
  </si>
  <si>
    <t>Interest on DIGICASH</t>
  </si>
  <si>
    <t>TOTAL (Revenue Achived Fy-22-23)</t>
  </si>
  <si>
    <t>TOTAL (Revenue Target FY-22-23) (Par)</t>
  </si>
  <si>
    <t>July-2023 to May-2024:  GOP(42)    NGOP(205)</t>
  </si>
  <si>
    <t>July-2022 to June-2023: GOP(19)    NGOP(261)</t>
  </si>
  <si>
    <t>Card Sale</t>
  </si>
  <si>
    <t>QR Sale</t>
  </si>
  <si>
    <t>NFC Sale</t>
  </si>
  <si>
    <t>Count</t>
  </si>
  <si>
    <t>Amount</t>
  </si>
  <si>
    <t>Unit</t>
  </si>
  <si>
    <t>No.</t>
  </si>
  <si>
    <t>Rs. Mn</t>
  </si>
  <si>
    <t>FY-2024 *</t>
  </si>
  <si>
    <t>* Jul-Jun</t>
  </si>
  <si>
    <t>Total</t>
  </si>
  <si>
    <t xml:space="preserve">Region </t>
  </si>
  <si>
    <t>Conventional POST</t>
  </si>
  <si>
    <t>A910 POST</t>
  </si>
  <si>
    <t>A930 POST</t>
  </si>
  <si>
    <t>POS Retail Outlets (Merchant count)</t>
  </si>
  <si>
    <t>Merchant Count</t>
  </si>
  <si>
    <t>DIGICASH</t>
  </si>
  <si>
    <t>MCB</t>
  </si>
  <si>
    <t>UBL</t>
  </si>
  <si>
    <t>Spend (MNs)</t>
  </si>
  <si>
    <t>No. of Merchants</t>
  </si>
  <si>
    <t>No. of POS</t>
  </si>
  <si>
    <t>July 2021 to June-2022: GOP (14)  NGOp (241)</t>
  </si>
  <si>
    <t>FY2024: GOP (299) NGOP (449)</t>
  </si>
  <si>
    <t>FY2023: GOP (205) NGOP (520)</t>
  </si>
  <si>
    <t>FY2022: GOP (276), NGOP (472)</t>
  </si>
  <si>
    <t>ESTIMATE: 49,976/9*12=66,634</t>
  </si>
  <si>
    <t>NGOP New Customers (count)</t>
  </si>
  <si>
    <t>GOP New Customers (count)</t>
  </si>
  <si>
    <t>B2B New Customers (count)</t>
  </si>
  <si>
    <t>F&amp;CC New Customers (count)</t>
  </si>
  <si>
    <t>Fuelink Portal Users (count)</t>
  </si>
  <si>
    <t>Fuelink App Users (count)</t>
  </si>
  <si>
    <t>All Cards Productwise Sale (Jul-21 to Jun-22)</t>
  </si>
  <si>
    <t>Program</t>
  </si>
  <si>
    <t>Ltr Jul-21 to Jun-22</t>
  </si>
  <si>
    <t>Ltr Jul-20 to Jun-21</t>
  </si>
  <si>
    <t>Diff (%)</t>
  </si>
  <si>
    <t>Rs Jul-21 to Jun-22</t>
  </si>
  <si>
    <t>Rs Jul-20 to Jun-21</t>
  </si>
  <si>
    <t>S.C Jul-21 to Jun-22</t>
  </si>
  <si>
    <t>S.C Jul-20 to Jun-21</t>
  </si>
  <si>
    <t>MDR YTD</t>
  </si>
  <si>
    <t>CC</t>
  </si>
  <si>
    <t>B2B  Reloadable</t>
  </si>
  <si>
    <t>Digicash</t>
  </si>
  <si>
    <t>GOP &amp; NGOP Overdue Outstanding as of 30-Jun-22 with SAP Aging Breakup</t>
  </si>
  <si>
    <t>SAP Aging Breakup</t>
  </si>
  <si>
    <t>Net of Counterfeit Outstanding</t>
  </si>
  <si>
    <t>GOP &amp; NGOP</t>
  </si>
  <si>
    <t>No. of Accounts</t>
  </si>
  <si>
    <t xml:space="preserve"> Overdue Outstanding</t>
  </si>
  <si>
    <t>Less then one Month</t>
  </si>
  <si>
    <t>Over One Month Less Then Three Month</t>
  </si>
  <si>
    <t>Over Three Month Less Then Six Month</t>
  </si>
  <si>
    <t>Over Six Month Less then One Year</t>
  </si>
  <si>
    <t>Over One Year</t>
  </si>
  <si>
    <t xml:space="preserve"> Counterfeit Amount</t>
  </si>
  <si>
    <t>Net of Amount</t>
  </si>
  <si>
    <t>NGOP</t>
  </si>
  <si>
    <t>Receivable Position</t>
  </si>
  <si>
    <t>Cumulative Sale FY 23-24</t>
  </si>
  <si>
    <t>Volume Sale TY</t>
  </si>
  <si>
    <t>Volume Sale LY</t>
  </si>
  <si>
    <t>Rs Consumption TY</t>
  </si>
  <si>
    <t>Rs Consumption LY</t>
  </si>
  <si>
    <t>MDR TY</t>
  </si>
  <si>
    <t>MDR LY</t>
  </si>
  <si>
    <t>S.C TY</t>
  </si>
  <si>
    <t>S.C LY</t>
  </si>
  <si>
    <t>FY24</t>
  </si>
  <si>
    <t>Cumulative Sale FY-22-23</t>
  </si>
  <si>
    <t>Var%</t>
  </si>
  <si>
    <t>2022&amp;2023</t>
  </si>
  <si>
    <t>2023&amp;2024</t>
  </si>
  <si>
    <t>(to be provided by Altpay)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</si>
</sst>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_);_(* \(#,##0\);_(* &quot;-&quot;??_);_(@_)"/>
    <numFmt numFmtId="170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9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166" fontId="4" fillId="0" borderId="1" xfId="1" applyNumberFormat="1" applyFont="1" applyBorder="1" applyAlignment="1"/>
    <xf numFmtId="166" fontId="4" fillId="3" borderId="1" xfId="1" applyNumberFormat="1" applyFont="1" applyFill="1" applyBorder="1"/>
    <xf numFmtId="166" fontId="4" fillId="0" borderId="1" xfId="1" applyNumberFormat="1" applyFont="1" applyBorder="1"/>
    <xf numFmtId="165" fontId="0" fillId="0" borderId="1" xfId="1" applyFont="1" applyBorder="1"/>
    <xf numFmtId="0" fontId="0" fillId="0" borderId="0" xfId="0" applyAlignment="1">
      <alignment horizontal="center"/>
    </xf>
    <xf numFmtId="165" fontId="4" fillId="0" borderId="1" xfId="1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horizontal="center"/>
    </xf>
    <xf numFmtId="166" fontId="0" fillId="0" borderId="0" xfId="0" applyNumberFormat="1"/>
    <xf numFmtId="0" fontId="7" fillId="6" borderId="19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17" fontId="7" fillId="6" borderId="10" xfId="0" applyNumberFormat="1" applyFont="1" applyFill="1" applyBorder="1" applyAlignment="1">
      <alignment horizontal="left" vertical="center"/>
    </xf>
    <xf numFmtId="167" fontId="2" fillId="0" borderId="1" xfId="1" applyNumberFormat="1" applyFont="1" applyBorder="1"/>
    <xf numFmtId="167" fontId="0" fillId="0" borderId="1" xfId="1" applyNumberFormat="1" applyFont="1" applyBorder="1"/>
    <xf numFmtId="167" fontId="6" fillId="6" borderId="1" xfId="0" applyNumberFormat="1" applyFont="1" applyFill="1" applyBorder="1"/>
    <xf numFmtId="167" fontId="6" fillId="6" borderId="1" xfId="1" applyNumberFormat="1" applyFont="1" applyFill="1" applyBorder="1"/>
    <xf numFmtId="9" fontId="0" fillId="0" borderId="11" xfId="2" applyFont="1" applyBorder="1"/>
    <xf numFmtId="0" fontId="0" fillId="0" borderId="0" xfId="0" applyAlignment="1">
      <alignment horizontal="left" indent="4"/>
    </xf>
    <xf numFmtId="167" fontId="0" fillId="0" borderId="13" xfId="1" applyNumberFormat="1" applyFont="1" applyBorder="1"/>
    <xf numFmtId="167" fontId="0" fillId="3" borderId="1" xfId="1" applyNumberFormat="1" applyFont="1" applyFill="1" applyBorder="1"/>
    <xf numFmtId="167" fontId="0" fillId="7" borderId="1" xfId="1" applyNumberFormat="1" applyFont="1" applyFill="1" applyBorder="1"/>
    <xf numFmtId="0" fontId="6" fillId="6" borderId="12" xfId="0" applyFont="1" applyFill="1" applyBorder="1" applyAlignment="1">
      <alignment horizontal="left"/>
    </xf>
    <xf numFmtId="167" fontId="6" fillId="6" borderId="22" xfId="0" applyNumberFormat="1" applyFont="1" applyFill="1" applyBorder="1"/>
    <xf numFmtId="0" fontId="0" fillId="0" borderId="23" xfId="0" applyBorder="1"/>
    <xf numFmtId="17" fontId="6" fillId="6" borderId="10" xfId="0" applyNumberFormat="1" applyFont="1" applyFill="1" applyBorder="1" applyAlignment="1">
      <alignment horizontal="left"/>
    </xf>
    <xf numFmtId="164" fontId="0" fillId="0" borderId="1" xfId="3" applyFont="1" applyBorder="1"/>
    <xf numFmtId="164" fontId="1" fillId="0" borderId="1" xfId="3" applyFont="1" applyFill="1" applyBorder="1"/>
    <xf numFmtId="0" fontId="6" fillId="6" borderId="12" xfId="0" applyFont="1" applyFill="1" applyBorder="1"/>
    <xf numFmtId="164" fontId="9" fillId="5" borderId="1" xfId="3" applyFont="1" applyFill="1" applyBorder="1"/>
    <xf numFmtId="0" fontId="6" fillId="6" borderId="10" xfId="0" applyFont="1" applyFill="1" applyBorder="1" applyAlignment="1">
      <alignment horizontal="left" vertical="center" wrapText="1"/>
    </xf>
    <xf numFmtId="0" fontId="6" fillId="8" borderId="10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164" fontId="9" fillId="5" borderId="11" xfId="3" applyFont="1" applyFill="1" applyBorder="1"/>
    <xf numFmtId="164" fontId="6" fillId="6" borderId="22" xfId="3" applyFont="1" applyFill="1" applyBorder="1"/>
    <xf numFmtId="1" fontId="1" fillId="2" borderId="1" xfId="0" applyNumberFormat="1" applyFont="1" applyFill="1" applyBorder="1" applyAlignment="1">
      <alignment horizontal="center"/>
    </xf>
    <xf numFmtId="0" fontId="0" fillId="2" borderId="0" xfId="0" applyFill="1"/>
    <xf numFmtId="164" fontId="6" fillId="6" borderId="1" xfId="0" applyNumberFormat="1" applyFont="1" applyFill="1" applyBorder="1"/>
    <xf numFmtId="166" fontId="3" fillId="2" borderId="1" xfId="1" applyNumberFormat="1" applyFont="1" applyFill="1" applyBorder="1" applyAlignment="1"/>
    <xf numFmtId="17" fontId="6" fillId="6" borderId="1" xfId="0" applyNumberFormat="1" applyFont="1" applyFill="1" applyBorder="1" applyAlignment="1">
      <alignment horizontal="left"/>
    </xf>
    <xf numFmtId="0" fontId="6" fillId="6" borderId="1" xfId="0" applyFont="1" applyFill="1" applyBorder="1"/>
    <xf numFmtId="0" fontId="1" fillId="9" borderId="1" xfId="0" applyFont="1" applyFill="1" applyBorder="1"/>
    <xf numFmtId="0" fontId="0" fillId="0" borderId="1" xfId="0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7" fillId="6" borderId="30" xfId="0" applyFont="1" applyFill="1" applyBorder="1" applyAlignment="1">
      <alignment horizontal="left" vertical="center" wrapText="1"/>
    </xf>
    <xf numFmtId="0" fontId="7" fillId="6" borderId="30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17" fontId="7" fillId="6" borderId="7" xfId="0" applyNumberFormat="1" applyFont="1" applyFill="1" applyBorder="1" applyAlignment="1">
      <alignment horizontal="left" vertical="center"/>
    </xf>
    <xf numFmtId="167" fontId="0" fillId="0" borderId="8" xfId="1" applyNumberFormat="1" applyFont="1" applyBorder="1"/>
    <xf numFmtId="167" fontId="6" fillId="6" borderId="8" xfId="0" applyNumberFormat="1" applyFont="1" applyFill="1" applyBorder="1"/>
    <xf numFmtId="167" fontId="6" fillId="6" borderId="14" xfId="1" applyNumberFormat="1" applyFont="1" applyFill="1" applyBorder="1"/>
    <xf numFmtId="9" fontId="0" fillId="0" borderId="9" xfId="2" applyFont="1" applyBorder="1"/>
    <xf numFmtId="167" fontId="6" fillId="6" borderId="2" xfId="0" applyNumberFormat="1" applyFont="1" applyFill="1" applyBorder="1"/>
    <xf numFmtId="167" fontId="6" fillId="6" borderId="15" xfId="1" applyNumberFormat="1" applyFont="1" applyFill="1" applyBorder="1"/>
    <xf numFmtId="0" fontId="6" fillId="6" borderId="4" xfId="0" applyFont="1" applyFill="1" applyBorder="1" applyAlignment="1">
      <alignment horizontal="left"/>
    </xf>
    <xf numFmtId="167" fontId="6" fillId="6" borderId="31" xfId="0" applyNumberFormat="1" applyFont="1" applyFill="1" applyBorder="1"/>
    <xf numFmtId="167" fontId="6" fillId="6" borderId="32" xfId="0" applyNumberFormat="1" applyFont="1" applyFill="1" applyBorder="1"/>
    <xf numFmtId="167" fontId="6" fillId="6" borderId="30" xfId="0" applyNumberFormat="1" applyFont="1" applyFill="1" applyBorder="1"/>
    <xf numFmtId="167" fontId="6" fillId="6" borderId="16" xfId="0" applyNumberFormat="1" applyFont="1" applyFill="1" applyBorder="1"/>
    <xf numFmtId="0" fontId="0" fillId="0" borderId="0" xfId="0" applyAlignment="1">
      <alignment vertical="center"/>
    </xf>
    <xf numFmtId="167" fontId="0" fillId="0" borderId="0" xfId="0" applyNumberFormat="1"/>
    <xf numFmtId="166" fontId="4" fillId="0" borderId="1" xfId="1" applyNumberFormat="1" applyFont="1" applyFill="1" applyBorder="1"/>
    <xf numFmtId="166" fontId="8" fillId="0" borderId="1" xfId="1" applyNumberFormat="1" applyFont="1" applyFill="1" applyBorder="1"/>
    <xf numFmtId="0" fontId="0" fillId="0" borderId="1" xfId="0" applyBorder="1" applyAlignment="1">
      <alignment horizontal="center"/>
    </xf>
    <xf numFmtId="0" fontId="0" fillId="10" borderId="1" xfId="0" applyFill="1" applyBorder="1"/>
    <xf numFmtId="0" fontId="1" fillId="10" borderId="1" xfId="1" applyNumberFormat="1" applyFont="1" applyFill="1" applyBorder="1"/>
    <xf numFmtId="0" fontId="11" fillId="11" borderId="1" xfId="0" applyFont="1" applyFill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" fillId="11" borderId="1" xfId="0" applyFont="1" applyFill="1" applyBorder="1"/>
    <xf numFmtId="0" fontId="1" fillId="0" borderId="0" xfId="0" applyFont="1"/>
    <xf numFmtId="166" fontId="4" fillId="0" borderId="1" xfId="1" applyNumberFormat="1" applyFont="1" applyFill="1" applyBorder="1" applyAlignment="1"/>
    <xf numFmtId="0" fontId="6" fillId="6" borderId="1" xfId="0" applyFont="1" applyFill="1" applyBorder="1" applyAlignment="1">
      <alignment vertical="center"/>
    </xf>
    <xf numFmtId="164" fontId="1" fillId="0" borderId="1" xfId="3" applyFont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0" fillId="11" borderId="1" xfId="0" applyFill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165" fontId="0" fillId="2" borderId="1" xfId="1" applyFont="1" applyFill="1" applyBorder="1"/>
    <xf numFmtId="1" fontId="1" fillId="0" borderId="1" xfId="0" applyNumberFormat="1" applyFont="1" applyBorder="1" applyAlignment="1">
      <alignment horizontal="center"/>
    </xf>
    <xf numFmtId="9" fontId="0" fillId="0" borderId="1" xfId="2" applyFont="1" applyFill="1" applyBorder="1"/>
    <xf numFmtId="0" fontId="11" fillId="0" borderId="0" xfId="0" applyFont="1"/>
    <xf numFmtId="0" fontId="12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3" fillId="0" borderId="0" xfId="0" applyFont="1" applyAlignment="1">
      <alignment vertical="center"/>
    </xf>
    <xf numFmtId="164" fontId="0" fillId="5" borderId="1" xfId="3" applyFont="1" applyFill="1" applyBorder="1"/>
    <xf numFmtId="164" fontId="0" fillId="5" borderId="11" xfId="3" applyFont="1" applyFill="1" applyBorder="1"/>
    <xf numFmtId="164" fontId="6" fillId="6" borderId="1" xfId="3" applyFont="1" applyFill="1" applyBorder="1"/>
    <xf numFmtId="164" fontId="6" fillId="6" borderId="11" xfId="3" applyFont="1" applyFill="1" applyBorder="1"/>
    <xf numFmtId="167" fontId="4" fillId="0" borderId="1" xfId="0" applyNumberFormat="1" applyFont="1" applyBorder="1"/>
    <xf numFmtId="17" fontId="0" fillId="0" borderId="1" xfId="0" applyNumberFormat="1" applyBorder="1"/>
    <xf numFmtId="166" fontId="0" fillId="0" borderId="1" xfId="4" applyNumberFormat="1" applyFont="1" applyBorder="1"/>
    <xf numFmtId="166" fontId="0" fillId="2" borderId="1" xfId="4" applyNumberFormat="1" applyFont="1" applyFill="1" applyBorder="1"/>
    <xf numFmtId="0" fontId="6" fillId="13" borderId="8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5" borderId="8" xfId="0" applyFont="1" applyFill="1" applyBorder="1" applyAlignment="1">
      <alignment horizontal="center" vertical="center" wrapText="1"/>
    </xf>
    <xf numFmtId="0" fontId="6" fillId="13" borderId="1" xfId="0" applyFont="1" applyFill="1" applyBorder="1"/>
    <xf numFmtId="167" fontId="0" fillId="0" borderId="1" xfId="0" applyNumberFormat="1" applyBorder="1"/>
    <xf numFmtId="167" fontId="9" fillId="14" borderId="1" xfId="0" applyNumberFormat="1" applyFont="1" applyFill="1" applyBorder="1"/>
    <xf numFmtId="9" fontId="1" fillId="14" borderId="1" xfId="2" applyFont="1" applyFill="1" applyBorder="1"/>
    <xf numFmtId="167" fontId="9" fillId="16" borderId="1" xfId="0" applyNumberFormat="1" applyFont="1" applyFill="1" applyBorder="1"/>
    <xf numFmtId="9" fontId="1" fillId="15" borderId="1" xfId="2" applyFont="1" applyFill="1" applyBorder="1"/>
    <xf numFmtId="0" fontId="1" fillId="14" borderId="2" xfId="0" applyFont="1" applyFill="1" applyBorder="1" applyAlignment="1">
      <alignment horizontal="center" vertical="center" wrapText="1"/>
    </xf>
    <xf numFmtId="0" fontId="5" fillId="16" borderId="26" xfId="0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15" fillId="16" borderId="34" xfId="0" applyFont="1" applyFill="1" applyBorder="1" applyAlignment="1">
      <alignment horizontal="center" vertical="center"/>
    </xf>
    <xf numFmtId="0" fontId="15" fillId="16" borderId="24" xfId="0" applyFont="1" applyFill="1" applyBorder="1" applyAlignment="1">
      <alignment horizontal="center" vertical="center" wrapText="1"/>
    </xf>
    <xf numFmtId="0" fontId="15" fillId="16" borderId="35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6" borderId="36" xfId="0" applyFont="1" applyFill="1" applyBorder="1" applyAlignment="1">
      <alignment horizontal="center" vertical="center" wrapText="1"/>
    </xf>
    <xf numFmtId="0" fontId="15" fillId="16" borderId="25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7" fontId="0" fillId="0" borderId="20" xfId="1" applyNumberFormat="1" applyFont="1" applyBorder="1" applyAlignment="1">
      <alignment horizontal="center" vertical="center"/>
    </xf>
    <xf numFmtId="167" fontId="0" fillId="0" borderId="37" xfId="1" applyNumberFormat="1" applyFon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8" xfId="0" applyNumberFormat="1" applyBorder="1" applyAlignment="1">
      <alignment horizontal="center" vertical="center"/>
    </xf>
    <xf numFmtId="167" fontId="0" fillId="0" borderId="38" xfId="0" applyNumberFormat="1" applyBorder="1" applyAlignment="1">
      <alignment horizontal="center" vertical="center"/>
    </xf>
    <xf numFmtId="167" fontId="0" fillId="0" borderId="19" xfId="1" applyNumberFormat="1" applyFon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7" fontId="0" fillId="0" borderId="14" xfId="1" applyNumberFormat="1" applyFon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167" fontId="0" fillId="0" borderId="12" xfId="1" applyNumberFormat="1" applyFont="1" applyBorder="1" applyAlignment="1">
      <alignment horizontal="center" vertical="center"/>
    </xf>
    <xf numFmtId="167" fontId="0" fillId="0" borderId="23" xfId="0" applyNumberFormat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167" fontId="1" fillId="17" borderId="5" xfId="0" applyNumberFormat="1" applyFont="1" applyFill="1" applyBorder="1" applyAlignment="1">
      <alignment horizontal="center" vertical="center"/>
    </xf>
    <xf numFmtId="167" fontId="1" fillId="17" borderId="3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164" fontId="1" fillId="2" borderId="1" xfId="3" applyFont="1" applyFill="1" applyBorder="1"/>
    <xf numFmtId="167" fontId="1" fillId="2" borderId="32" xfId="0" applyNumberFormat="1" applyFont="1" applyFill="1" applyBorder="1" applyAlignment="1">
      <alignment horizontal="center" vertical="center"/>
    </xf>
    <xf numFmtId="166" fontId="0" fillId="0" borderId="14" xfId="1" applyNumberFormat="1" applyFont="1" applyBorder="1" applyAlignment="1">
      <alignment horizontal="center" vertical="center"/>
    </xf>
    <xf numFmtId="166" fontId="0" fillId="0" borderId="15" xfId="1" applyNumberFormat="1" applyFont="1" applyBorder="1" applyAlignment="1">
      <alignment horizontal="center" vertical="center"/>
    </xf>
    <xf numFmtId="166" fontId="0" fillId="0" borderId="1" xfId="1" applyNumberFormat="1" applyFont="1" applyBorder="1"/>
    <xf numFmtId="0" fontId="6" fillId="6" borderId="7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164" fontId="0" fillId="0" borderId="11" xfId="3" applyFont="1" applyBorder="1"/>
    <xf numFmtId="164" fontId="6" fillId="6" borderId="42" xfId="3" applyFont="1" applyFill="1" applyBorder="1"/>
    <xf numFmtId="164" fontId="6" fillId="6" borderId="23" xfId="3" applyFont="1" applyFill="1" applyBorder="1"/>
    <xf numFmtId="166" fontId="1" fillId="0" borderId="1" xfId="1" applyNumberFormat="1" applyFont="1" applyFill="1" applyBorder="1"/>
    <xf numFmtId="0" fontId="1" fillId="4" borderId="2" xfId="0" applyFont="1" applyFill="1" applyBorder="1" applyAlignment="1">
      <alignment vertical="center"/>
    </xf>
    <xf numFmtId="166" fontId="4" fillId="0" borderId="14" xfId="1" applyNumberFormat="1" applyFont="1" applyFill="1" applyBorder="1" applyAlignment="1">
      <alignment horizontal="left" vertical="center"/>
    </xf>
    <xf numFmtId="166" fontId="4" fillId="0" borderId="33" xfId="1" applyNumberFormat="1" applyFont="1" applyFill="1" applyBorder="1" applyAlignment="1">
      <alignment horizontal="left" vertical="center"/>
    </xf>
    <xf numFmtId="166" fontId="4" fillId="0" borderId="3" xfId="1" applyNumberFormat="1" applyFont="1" applyFill="1" applyBorder="1" applyAlignment="1">
      <alignment horizontal="left" vertical="center"/>
    </xf>
    <xf numFmtId="166" fontId="4" fillId="0" borderId="14" xfId="1" applyNumberFormat="1" applyFont="1" applyBorder="1" applyAlignment="1">
      <alignment horizontal="center"/>
    </xf>
    <xf numFmtId="166" fontId="4" fillId="0" borderId="33" xfId="1" applyNumberFormat="1" applyFont="1" applyBorder="1" applyAlignment="1">
      <alignment horizontal="center"/>
    </xf>
    <xf numFmtId="166" fontId="4" fillId="0" borderId="3" xfId="1" applyNumberFormat="1" applyFont="1" applyBorder="1" applyAlignment="1">
      <alignment horizontal="center"/>
    </xf>
    <xf numFmtId="166" fontId="4" fillId="0" borderId="14" xfId="1" applyNumberFormat="1" applyFont="1" applyBorder="1" applyAlignment="1">
      <alignment horizontal="center" vertical="center"/>
    </xf>
    <xf numFmtId="166" fontId="4" fillId="0" borderId="33" xfId="1" applyNumberFormat="1" applyFont="1" applyBorder="1" applyAlignment="1">
      <alignment horizontal="center" vertical="center"/>
    </xf>
    <xf numFmtId="166" fontId="4" fillId="0" borderId="3" xfId="1" applyNumberFormat="1" applyFont="1" applyBorder="1" applyAlignment="1">
      <alignment horizontal="center" vertical="center"/>
    </xf>
    <xf numFmtId="166" fontId="4" fillId="0" borderId="14" xfId="0" applyNumberFormat="1" applyFont="1" applyBorder="1" applyAlignment="1">
      <alignment horizontal="center"/>
    </xf>
    <xf numFmtId="166" fontId="4" fillId="0" borderId="33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3" fontId="0" fillId="0" borderId="43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6" fillId="13" borderId="1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/>
    </xf>
    <xf numFmtId="0" fontId="6" fillId="6" borderId="40" xfId="0" applyFont="1" applyFill="1" applyBorder="1" applyAlignment="1">
      <alignment horizontal="center"/>
    </xf>
    <xf numFmtId="0" fontId="6" fillId="6" borderId="41" xfId="0" applyFont="1" applyFill="1" applyBorder="1" applyAlignment="1">
      <alignment horizontal="center"/>
    </xf>
    <xf numFmtId="0" fontId="5" fillId="16" borderId="16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 wrapText="1"/>
    </xf>
    <xf numFmtId="0" fontId="10" fillId="8" borderId="28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0" fillId="0" borderId="2" xfId="0" applyFill="1" applyBorder="1"/>
    <xf numFmtId="9" fontId="0" fillId="0" borderId="1" xfId="2" applyNumberFormat="1" applyFont="1" applyBorder="1"/>
    <xf numFmtId="170" fontId="0" fillId="0" borderId="1" xfId="1" applyNumberFormat="1" applyFont="1" applyBorder="1"/>
    <xf numFmtId="170" fontId="0" fillId="0" borderId="1" xfId="0" applyNumberFormat="1" applyBorder="1"/>
    <xf numFmtId="170" fontId="0" fillId="0" borderId="2" xfId="0" applyNumberFormat="1" applyFill="1" applyBorder="1"/>
    <xf numFmtId="170" fontId="0" fillId="2" borderId="1" xfId="1" applyNumberFormat="1" applyFont="1" applyFill="1" applyBorder="1"/>
  </cellXfs>
  <cellStyles count="5">
    <cellStyle name="Comma" xfId="1" builtinId="3"/>
    <cellStyle name="Comma [0]" xfId="3" builtinId="6"/>
    <cellStyle name="Comma 2" xfId="4" xr:uid="{210E02C6-04D6-4511-9FF5-A664500A1431}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50D0-2249-497C-9320-95345BB44ADA}">
  <dimension ref="A1:J64"/>
  <sheetViews>
    <sheetView showFormulas="1" tabSelected="1" zoomScale="125" zoomScaleNormal="192" workbookViewId="0">
      <selection activeCell="D23" sqref="D23"/>
    </sheetView>
  </sheetViews>
  <sheetFormatPr baseColWidth="10" defaultColWidth="8.83203125" defaultRowHeight="15" x14ac:dyDescent="0.2"/>
  <cols>
    <col min="1" max="1" width="8.83203125" style="8"/>
    <col min="2" max="2" width="0" style="8" hidden="1" customWidth="1"/>
    <col min="3" max="3" width="35.33203125" bestFit="1" customWidth="1"/>
    <col min="4" max="4" width="20.1640625" customWidth="1"/>
    <col min="5" max="5" width="19.5" customWidth="1"/>
    <col min="6" max="6" width="17.83203125" customWidth="1"/>
    <col min="7" max="7" width="17.5" bestFit="1" customWidth="1"/>
    <col min="8" max="8" width="11.83203125" bestFit="1" customWidth="1"/>
    <col min="11" max="11" width="15.5" bestFit="1" customWidth="1"/>
    <col min="12" max="13" width="11.83203125" bestFit="1" customWidth="1"/>
  </cols>
  <sheetData>
    <row r="1" spans="1:10" x14ac:dyDescent="0.2">
      <c r="G1" s="167" t="s">
        <v>142</v>
      </c>
      <c r="H1" s="168"/>
      <c r="I1" s="169" t="s">
        <v>143</v>
      </c>
      <c r="J1" s="169"/>
    </row>
    <row r="2" spans="1:10" x14ac:dyDescent="0.2">
      <c r="A2" s="10" t="s">
        <v>1</v>
      </c>
      <c r="B2" s="10"/>
      <c r="C2" s="11" t="s">
        <v>0</v>
      </c>
      <c r="D2" s="11" t="s">
        <v>51</v>
      </c>
      <c r="E2" s="11" t="s">
        <v>6</v>
      </c>
      <c r="F2" s="11" t="s">
        <v>7</v>
      </c>
      <c r="G2" s="11" t="s">
        <v>9</v>
      </c>
      <c r="H2" s="11" t="s">
        <v>10</v>
      </c>
      <c r="I2" s="154" t="s">
        <v>9</v>
      </c>
      <c r="J2" s="154" t="s">
        <v>141</v>
      </c>
    </row>
    <row r="3" spans="1:10" x14ac:dyDescent="0.2">
      <c r="A3" s="12">
        <v>1</v>
      </c>
      <c r="B3" s="12"/>
      <c r="C3" s="1" t="s">
        <v>26</v>
      </c>
      <c r="D3" s="85">
        <v>111</v>
      </c>
      <c r="E3" s="5">
        <v>166</v>
      </c>
      <c r="F3" s="5">
        <v>180</v>
      </c>
      <c r="G3" s="7">
        <v>0.495</v>
      </c>
      <c r="H3" s="193">
        <v>49.5</v>
      </c>
      <c r="I3" s="1">
        <v>8.4000000000000005E-2</v>
      </c>
      <c r="J3" s="1">
        <v>8.4</v>
      </c>
    </row>
    <row r="4" spans="1:10" x14ac:dyDescent="0.2">
      <c r="A4" s="12">
        <v>2</v>
      </c>
      <c r="B4" s="12"/>
      <c r="C4" s="1" t="s">
        <v>27</v>
      </c>
      <c r="D4" s="85">
        <v>1428</v>
      </c>
      <c r="E4" s="6">
        <v>2254</v>
      </c>
      <c r="F4" s="70">
        <v>2352</v>
      </c>
      <c r="G4" s="1">
        <v>0.57799999999999996</v>
      </c>
      <c r="H4" s="195">
        <v>57.8</v>
      </c>
      <c r="I4" s="1">
        <v>4.2999999999999997E-2</v>
      </c>
      <c r="J4" s="1">
        <v>4.3</v>
      </c>
    </row>
    <row r="5" spans="1:10" x14ac:dyDescent="0.2">
      <c r="A5" s="12">
        <v>3</v>
      </c>
      <c r="B5" s="12"/>
      <c r="C5" s="1" t="s">
        <v>15</v>
      </c>
      <c r="D5" s="85">
        <v>765</v>
      </c>
      <c r="E5" s="5">
        <v>656.68603706999988</v>
      </c>
      <c r="F5" s="5">
        <v>623.82121400000005</v>
      </c>
      <c r="G5" s="1">
        <v>-0.14099999999999999</v>
      </c>
      <c r="H5" s="195">
        <v>-14.1</v>
      </c>
      <c r="I5" s="1">
        <v>-0.05</v>
      </c>
      <c r="J5" s="1">
        <v>-5</v>
      </c>
    </row>
    <row r="6" spans="1:10" x14ac:dyDescent="0.2">
      <c r="A6" s="12">
        <v>4</v>
      </c>
      <c r="B6" s="12"/>
      <c r="C6" s="1" t="s">
        <v>16</v>
      </c>
      <c r="D6" s="85">
        <v>844</v>
      </c>
      <c r="E6" s="5">
        <v>1327.4537826800004</v>
      </c>
      <c r="F6" s="69">
        <v>1354</v>
      </c>
      <c r="G6" s="1">
        <v>0.57220000000000004</v>
      </c>
      <c r="H6" s="195">
        <v>57.22</v>
      </c>
      <c r="I6" s="1">
        <v>0.02</v>
      </c>
      <c r="J6" s="1">
        <v>2</v>
      </c>
    </row>
    <row r="7" spans="1:10" x14ac:dyDescent="0.2">
      <c r="A7" s="12">
        <v>5</v>
      </c>
      <c r="B7" s="12"/>
      <c r="C7" s="1" t="s">
        <v>25</v>
      </c>
      <c r="D7" s="85">
        <v>519</v>
      </c>
      <c r="E7" s="6">
        <v>782.77316151000014</v>
      </c>
      <c r="F7" s="69">
        <v>871</v>
      </c>
      <c r="G7" s="1">
        <v>0.50600000000000001</v>
      </c>
      <c r="H7" s="195">
        <v>50.6</v>
      </c>
      <c r="I7" s="1">
        <v>0.112</v>
      </c>
      <c r="J7" s="1">
        <v>11.2</v>
      </c>
    </row>
    <row r="8" spans="1:10" x14ac:dyDescent="0.2">
      <c r="A8" s="12">
        <v>6</v>
      </c>
      <c r="B8" s="12"/>
      <c r="C8" s="1" t="s">
        <v>17</v>
      </c>
      <c r="D8" s="85">
        <v>21</v>
      </c>
      <c r="E8" s="6">
        <v>24.31315</v>
      </c>
      <c r="F8" s="69">
        <v>38</v>
      </c>
      <c r="G8" s="1">
        <v>0.14199999999999999</v>
      </c>
      <c r="H8" s="195">
        <v>14.2</v>
      </c>
      <c r="I8" s="1">
        <v>0.56299999999999994</v>
      </c>
      <c r="J8" s="1">
        <v>56.3</v>
      </c>
    </row>
    <row r="9" spans="1:10" x14ac:dyDescent="0.2">
      <c r="A9" s="12">
        <v>7</v>
      </c>
      <c r="B9" s="12"/>
      <c r="C9" s="1" t="s">
        <v>18</v>
      </c>
      <c r="D9" s="85">
        <v>31</v>
      </c>
      <c r="E9" s="6">
        <v>65.763473869999999</v>
      </c>
      <c r="F9" s="69">
        <v>69</v>
      </c>
      <c r="G9" s="192">
        <v>1.129</v>
      </c>
      <c r="H9" s="196">
        <v>112.9</v>
      </c>
      <c r="I9" s="1">
        <v>0.05</v>
      </c>
      <c r="J9" s="1">
        <v>5</v>
      </c>
    </row>
    <row r="10" spans="1:10" x14ac:dyDescent="0.2">
      <c r="A10" s="12">
        <v>8</v>
      </c>
      <c r="B10" s="12"/>
      <c r="C10" s="1" t="s">
        <v>19</v>
      </c>
      <c r="D10" s="85">
        <v>13</v>
      </c>
      <c r="E10" s="6">
        <v>15.316000000000001</v>
      </c>
      <c r="F10" s="69">
        <v>17.745000000000001</v>
      </c>
      <c r="G10" s="1">
        <v>0.17799999999999999</v>
      </c>
      <c r="H10" s="195">
        <v>17.8</v>
      </c>
      <c r="I10" s="1">
        <v>0.158</v>
      </c>
      <c r="J10" s="1">
        <v>15.8</v>
      </c>
    </row>
    <row r="11" spans="1:10" x14ac:dyDescent="0.2">
      <c r="A11" s="12">
        <v>9</v>
      </c>
      <c r="B11" s="12"/>
      <c r="C11" s="1" t="s">
        <v>8</v>
      </c>
      <c r="D11" s="85">
        <v>208</v>
      </c>
      <c r="E11" s="5">
        <v>263.78939045000004</v>
      </c>
      <c r="F11" s="69">
        <v>721.45595000000003</v>
      </c>
      <c r="G11" s="1">
        <v>0.26400000000000001</v>
      </c>
      <c r="H11" s="195">
        <v>26.4</v>
      </c>
      <c r="I11" s="1">
        <v>1.7350000000000001</v>
      </c>
      <c r="J11" s="1">
        <v>173.5</v>
      </c>
    </row>
    <row r="12" spans="1:10" x14ac:dyDescent="0.2">
      <c r="A12" s="12">
        <v>10</v>
      </c>
      <c r="B12" s="12"/>
      <c r="C12" s="1" t="s">
        <v>20</v>
      </c>
      <c r="D12" s="98">
        <v>15.25</v>
      </c>
      <c r="E12" s="9">
        <v>17.333031999999999</v>
      </c>
      <c r="F12" s="9">
        <v>16.632718000000001</v>
      </c>
      <c r="G12" s="1">
        <v>0.13600000000000001</v>
      </c>
      <c r="H12" s="195">
        <v>13.6</v>
      </c>
      <c r="I12" s="1">
        <v>-0.04</v>
      </c>
      <c r="J12" s="1">
        <v>-4</v>
      </c>
    </row>
    <row r="13" spans="1:10" x14ac:dyDescent="0.2">
      <c r="A13" s="12">
        <v>11</v>
      </c>
      <c r="B13" s="12"/>
      <c r="C13" s="1" t="s">
        <v>28</v>
      </c>
      <c r="D13" s="85">
        <v>1041</v>
      </c>
      <c r="E13" s="6">
        <v>1680</v>
      </c>
      <c r="F13" s="6">
        <v>1908</v>
      </c>
      <c r="G13" s="1">
        <v>0.61299999999999999</v>
      </c>
      <c r="H13" s="195">
        <v>61.3</v>
      </c>
      <c r="I13" s="1">
        <v>0.13500000000000001</v>
      </c>
      <c r="J13" s="1">
        <v>13.5</v>
      </c>
    </row>
    <row r="14" spans="1:10" x14ac:dyDescent="0.2">
      <c r="A14" s="87">
        <v>12</v>
      </c>
      <c r="B14" s="87"/>
      <c r="C14" s="1" t="s">
        <v>83</v>
      </c>
      <c r="D14" s="85">
        <v>1519</v>
      </c>
      <c r="E14" s="69">
        <v>1672</v>
      </c>
      <c r="F14" s="69">
        <v>1468</v>
      </c>
      <c r="G14" s="1">
        <v>0.1</v>
      </c>
      <c r="H14" s="195">
        <v>10</v>
      </c>
      <c r="I14" s="1">
        <v>-0.122</v>
      </c>
      <c r="J14" s="1">
        <v>-12.2</v>
      </c>
    </row>
    <row r="15" spans="1:10" x14ac:dyDescent="0.2">
      <c r="A15" s="12">
        <v>13</v>
      </c>
      <c r="B15" s="12"/>
      <c r="C15" s="1" t="s">
        <v>21</v>
      </c>
      <c r="D15" s="155">
        <v>192</v>
      </c>
      <c r="E15" s="156"/>
      <c r="F15" s="157"/>
      <c r="G15" s="1"/>
      <c r="H15" s="195"/>
      <c r="I15" s="1"/>
      <c r="J15" s="1"/>
    </row>
    <row r="16" spans="1:10" x14ac:dyDescent="0.2">
      <c r="A16" s="12">
        <v>14</v>
      </c>
      <c r="B16" s="12"/>
      <c r="C16" s="1" t="s">
        <v>22</v>
      </c>
      <c r="D16" s="158">
        <v>12974</v>
      </c>
      <c r="E16" s="159"/>
      <c r="F16" s="160"/>
      <c r="G16" s="1"/>
      <c r="H16" s="195"/>
      <c r="I16" s="1"/>
      <c r="J16" s="1"/>
    </row>
    <row r="17" spans="1:10" x14ac:dyDescent="0.2">
      <c r="A17" s="12">
        <v>15</v>
      </c>
      <c r="B17" s="12"/>
      <c r="C17" s="1" t="s">
        <v>23</v>
      </c>
      <c r="D17" s="161">
        <v>1421</v>
      </c>
      <c r="E17" s="162"/>
      <c r="F17" s="163"/>
      <c r="G17" s="1"/>
      <c r="H17" s="195"/>
      <c r="I17" s="1"/>
      <c r="J17" s="1"/>
    </row>
    <row r="18" spans="1:10" x14ac:dyDescent="0.2">
      <c r="A18" s="87">
        <v>16</v>
      </c>
      <c r="B18" s="87"/>
      <c r="C18" s="1" t="s">
        <v>96</v>
      </c>
      <c r="D18" s="85">
        <v>713</v>
      </c>
      <c r="E18" s="78">
        <v>781</v>
      </c>
      <c r="F18" s="69">
        <v>654</v>
      </c>
      <c r="G18" s="1">
        <v>9.5000000000000001E-2</v>
      </c>
      <c r="H18" s="195">
        <v>9.5</v>
      </c>
      <c r="I18" s="1">
        <v>0.16200000000000001</v>
      </c>
      <c r="J18" s="1">
        <v>16.2</v>
      </c>
    </row>
    <row r="19" spans="1:10" x14ac:dyDescent="0.2">
      <c r="A19" s="87">
        <v>17</v>
      </c>
      <c r="B19" s="87"/>
      <c r="C19" s="1" t="s">
        <v>97</v>
      </c>
      <c r="D19" s="85">
        <v>290</v>
      </c>
      <c r="E19" s="78">
        <v>224</v>
      </c>
      <c r="F19" s="69">
        <v>341</v>
      </c>
      <c r="G19" s="1">
        <v>-0.22700000000000001</v>
      </c>
      <c r="H19" s="195">
        <v>-22.7</v>
      </c>
      <c r="I19" s="1">
        <v>0.52200000000000002</v>
      </c>
      <c r="J19" s="1">
        <v>52.2</v>
      </c>
    </row>
    <row r="20" spans="1:10" x14ac:dyDescent="0.2">
      <c r="A20" s="12">
        <v>18</v>
      </c>
      <c r="B20" s="12"/>
      <c r="C20" s="1" t="s">
        <v>98</v>
      </c>
      <c r="D20" s="85">
        <v>255</v>
      </c>
      <c r="E20" s="4">
        <v>280</v>
      </c>
      <c r="F20" s="78">
        <v>247</v>
      </c>
      <c r="G20" s="1">
        <v>0.111</v>
      </c>
      <c r="H20" s="195">
        <v>11.1</v>
      </c>
      <c r="I20" s="1">
        <v>0.11700000000000001</v>
      </c>
      <c r="J20" s="1">
        <v>11.7</v>
      </c>
    </row>
    <row r="21" spans="1:10" x14ac:dyDescent="0.2">
      <c r="A21" s="87">
        <v>19</v>
      </c>
      <c r="B21" s="87"/>
      <c r="C21" s="1" t="s">
        <v>99</v>
      </c>
      <c r="D21" s="85">
        <v>748</v>
      </c>
      <c r="E21" s="78">
        <v>725</v>
      </c>
      <c r="F21" s="78">
        <v>748</v>
      </c>
      <c r="G21" s="1">
        <v>-0.03</v>
      </c>
      <c r="H21" s="195">
        <v>-3</v>
      </c>
      <c r="I21" s="1">
        <v>3.1E-2</v>
      </c>
      <c r="J21" s="1">
        <v>3.1</v>
      </c>
    </row>
    <row r="22" spans="1:10" x14ac:dyDescent="0.2">
      <c r="A22" s="87">
        <v>20</v>
      </c>
      <c r="B22" s="87"/>
      <c r="C22" s="1" t="s">
        <v>100</v>
      </c>
      <c r="D22" s="85">
        <v>1385</v>
      </c>
      <c r="E22" s="78">
        <v>2476</v>
      </c>
      <c r="F22" s="78">
        <v>1076</v>
      </c>
      <c r="G22" s="1">
        <v>0.78700000000000003</v>
      </c>
      <c r="H22" s="195">
        <v>78.7</v>
      </c>
      <c r="I22" s="1">
        <v>-0.56499999999999995</v>
      </c>
      <c r="J22" s="1">
        <v>-56.5</v>
      </c>
    </row>
    <row r="23" spans="1:10" s="43" customFormat="1" x14ac:dyDescent="0.2">
      <c r="A23" s="42">
        <v>21</v>
      </c>
      <c r="B23" s="42"/>
      <c r="C23" s="3" t="s">
        <v>101</v>
      </c>
      <c r="D23" s="3" t="s">
        <v>144</v>
      </c>
      <c r="E23" s="45"/>
      <c r="F23" s="45"/>
      <c r="G23" s="86"/>
      <c r="H23" s="197"/>
      <c r="I23" s="3"/>
      <c r="J23" s="3"/>
    </row>
    <row r="24" spans="1:10" x14ac:dyDescent="0.2">
      <c r="A24" s="12">
        <v>23</v>
      </c>
      <c r="B24" s="12"/>
      <c r="C24" s="1" t="s">
        <v>24</v>
      </c>
      <c r="D24" s="164">
        <v>66634</v>
      </c>
      <c r="E24" s="165"/>
      <c r="F24" s="166"/>
      <c r="G24" s="7"/>
      <c r="H24" s="194"/>
      <c r="I24" s="1"/>
      <c r="J24" s="1"/>
    </row>
    <row r="25" spans="1:10" x14ac:dyDescent="0.2">
      <c r="A25" s="87">
        <v>24</v>
      </c>
      <c r="B25" s="87"/>
      <c r="C25" s="1" t="s">
        <v>39</v>
      </c>
      <c r="D25" s="85">
        <v>764</v>
      </c>
      <c r="E25" s="78">
        <v>578</v>
      </c>
      <c r="F25" s="69">
        <v>572</v>
      </c>
      <c r="G25" s="1">
        <v>0.24299999999999999</v>
      </c>
      <c r="H25" s="195">
        <v>24.3</v>
      </c>
      <c r="I25" s="1">
        <v>0.01</v>
      </c>
      <c r="J25" s="1">
        <v>1</v>
      </c>
    </row>
    <row r="64" ht="13.75" customHeight="1" x14ac:dyDescent="0.2"/>
  </sheetData>
  <mergeCells count="6">
    <mergeCell ref="I1:J1"/>
    <mergeCell ref="D15:F15"/>
    <mergeCell ref="D16:F16"/>
    <mergeCell ref="D17:F17"/>
    <mergeCell ref="D24:F24"/>
    <mergeCell ref="G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11D0-1F47-45B9-B19C-E5FCB2672FCA}">
  <dimension ref="A1:M44"/>
  <sheetViews>
    <sheetView workbookViewId="0">
      <selection activeCell="A30" sqref="A30:I44"/>
    </sheetView>
  </sheetViews>
  <sheetFormatPr baseColWidth="10" defaultColWidth="8.83203125" defaultRowHeight="15" x14ac:dyDescent="0.2"/>
  <cols>
    <col min="2" max="3" width="12.5" bestFit="1" customWidth="1"/>
    <col min="4" max="5" width="16.1640625" bestFit="1" customWidth="1"/>
    <col min="6" max="6" width="15.1640625" bestFit="1" customWidth="1"/>
    <col min="7" max="7" width="12.5" bestFit="1" customWidth="1"/>
    <col min="8" max="9" width="14.1640625" bestFit="1" customWidth="1"/>
    <col min="11" max="11" width="12.5" bestFit="1" customWidth="1"/>
    <col min="12" max="12" width="12.5" customWidth="1"/>
  </cols>
  <sheetData>
    <row r="1" spans="1:13" x14ac:dyDescent="0.2">
      <c r="A1" s="170" t="s">
        <v>102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3" ht="32" x14ac:dyDescent="0.2">
      <c r="A2" s="102" t="s">
        <v>103</v>
      </c>
      <c r="B2" s="103" t="s">
        <v>104</v>
      </c>
      <c r="C2" s="103" t="s">
        <v>105</v>
      </c>
      <c r="D2" s="103" t="s">
        <v>106</v>
      </c>
      <c r="E2" s="104" t="s">
        <v>107</v>
      </c>
      <c r="F2" s="104" t="s">
        <v>108</v>
      </c>
      <c r="G2" s="104" t="s">
        <v>106</v>
      </c>
      <c r="H2" s="103" t="s">
        <v>109</v>
      </c>
      <c r="I2" s="103" t="s">
        <v>110</v>
      </c>
      <c r="J2" s="103" t="s">
        <v>106</v>
      </c>
      <c r="K2" s="104" t="s">
        <v>111</v>
      </c>
      <c r="L2" s="104" t="s">
        <v>111</v>
      </c>
      <c r="M2" s="111" t="s">
        <v>51</v>
      </c>
    </row>
    <row r="3" spans="1:13" x14ac:dyDescent="0.2">
      <c r="A3" s="105" t="s">
        <v>42</v>
      </c>
      <c r="B3" s="106">
        <v>166406066.18000001</v>
      </c>
      <c r="C3" s="106">
        <v>146704556.08000001</v>
      </c>
      <c r="D3" s="88">
        <f>(B3-C3)/C3</f>
        <v>0.13429378491324079</v>
      </c>
      <c r="E3" s="106">
        <v>24626562335.710003</v>
      </c>
      <c r="F3" s="106">
        <v>16228889956.179998</v>
      </c>
      <c r="G3" s="88">
        <f>(E3-F3)/F3</f>
        <v>0.51745205015282958</v>
      </c>
      <c r="H3" s="106">
        <v>268878148.05000001</v>
      </c>
      <c r="I3" s="106">
        <v>207292829.10000002</v>
      </c>
      <c r="J3" s="88">
        <f>(H3-I3)/I3</f>
        <v>0.29709333997410325</v>
      </c>
      <c r="K3" s="32">
        <f>(E3*0.005)</f>
        <v>123132811.67855002</v>
      </c>
      <c r="L3" s="32">
        <f>(F3*0.005)</f>
        <v>81144449.780899987</v>
      </c>
    </row>
    <row r="4" spans="1:13" x14ac:dyDescent="0.2">
      <c r="A4" s="105" t="s">
        <v>43</v>
      </c>
      <c r="B4" s="106">
        <v>75175529.409999996</v>
      </c>
      <c r="C4" s="106">
        <v>65058541.010000005</v>
      </c>
      <c r="D4" s="88">
        <f t="shared" ref="D4:D9" si="0">(B4-C4)/C4</f>
        <v>0.15550592194259216</v>
      </c>
      <c r="E4" s="106">
        <v>11396547128.030001</v>
      </c>
      <c r="F4" s="106">
        <v>7329500461.0799999</v>
      </c>
      <c r="G4" s="88">
        <f t="shared" ref="G4:G9" si="1">(E4-F4)/F4</f>
        <v>0.55488729259875402</v>
      </c>
      <c r="H4" s="106">
        <v>113850138.98</v>
      </c>
      <c r="I4" s="106">
        <v>73172287.339999989</v>
      </c>
      <c r="J4" s="88">
        <f t="shared" ref="J4:J9" si="2">(H4-I4)/I4</f>
        <v>0.55591882007169768</v>
      </c>
      <c r="K4" s="32">
        <f t="shared" ref="K4:L9" si="3">(E4*0.005)</f>
        <v>56982735.640150003</v>
      </c>
      <c r="L4" s="32">
        <f t="shared" si="3"/>
        <v>36647502.305399999</v>
      </c>
    </row>
    <row r="5" spans="1:13" x14ac:dyDescent="0.2">
      <c r="A5" s="105" t="s">
        <v>44</v>
      </c>
      <c r="B5" s="106">
        <v>408889161.75999999</v>
      </c>
      <c r="C5" s="106">
        <v>426751080.75999999</v>
      </c>
      <c r="D5" s="88">
        <f t="shared" si="0"/>
        <v>-4.1855591714471466E-2</v>
      </c>
      <c r="E5" s="106">
        <v>58529080222.93</v>
      </c>
      <c r="F5" s="106">
        <v>46695794111.62001</v>
      </c>
      <c r="G5" s="88">
        <f t="shared" si="1"/>
        <v>0.25341224700074944</v>
      </c>
      <c r="H5" s="106">
        <v>432457423.75999993</v>
      </c>
      <c r="I5" s="106">
        <v>352561301.39000005</v>
      </c>
      <c r="J5" s="88">
        <f t="shared" si="2"/>
        <v>0.22661625667650784</v>
      </c>
      <c r="K5" s="32">
        <f t="shared" si="3"/>
        <v>292645401.11465001</v>
      </c>
      <c r="L5" s="32">
        <f t="shared" si="3"/>
        <v>233478970.55810004</v>
      </c>
    </row>
    <row r="6" spans="1:13" x14ac:dyDescent="0.2">
      <c r="A6" s="105" t="s">
        <v>112</v>
      </c>
      <c r="B6" s="106">
        <v>379479.77</v>
      </c>
      <c r="C6" s="106">
        <v>203769.27</v>
      </c>
      <c r="D6" s="88">
        <f t="shared" si="0"/>
        <v>0.86230126848861965</v>
      </c>
      <c r="E6" s="106">
        <v>56847340</v>
      </c>
      <c r="F6" s="106">
        <v>22252875.899999999</v>
      </c>
      <c r="G6" s="88">
        <f t="shared" si="1"/>
        <v>1.5546064362853884</v>
      </c>
      <c r="H6" s="106">
        <v>295627.71000000002</v>
      </c>
      <c r="I6" s="106">
        <v>103705.15000000001</v>
      </c>
      <c r="J6" s="88">
        <f t="shared" si="2"/>
        <v>1.8506560185294556</v>
      </c>
      <c r="K6" s="32">
        <f t="shared" si="3"/>
        <v>284236.7</v>
      </c>
      <c r="L6" s="32">
        <f t="shared" si="3"/>
        <v>111264.3795</v>
      </c>
    </row>
    <row r="7" spans="1:13" x14ac:dyDescent="0.2">
      <c r="A7" s="105" t="s">
        <v>113</v>
      </c>
      <c r="B7" s="106">
        <v>77165758.920000002</v>
      </c>
      <c r="C7" s="106">
        <v>82590089.569999993</v>
      </c>
      <c r="D7" s="88">
        <f t="shared" si="0"/>
        <v>-6.5677742671565328E-2</v>
      </c>
      <c r="E7" s="106">
        <v>10724572366.66</v>
      </c>
      <c r="F7" s="106">
        <v>9104236266.9400005</v>
      </c>
      <c r="G7" s="88">
        <f t="shared" si="1"/>
        <v>0.1779760599583611</v>
      </c>
      <c r="H7" s="106">
        <v>29267817.390000001</v>
      </c>
      <c r="I7" s="106">
        <v>24018266.399999999</v>
      </c>
      <c r="J7" s="88">
        <f t="shared" si="2"/>
        <v>0.21856494147304498</v>
      </c>
      <c r="K7" s="32">
        <f t="shared" si="3"/>
        <v>53622861.833300002</v>
      </c>
      <c r="L7" s="32">
        <f t="shared" si="3"/>
        <v>45521181.334700003</v>
      </c>
    </row>
    <row r="8" spans="1:13" x14ac:dyDescent="0.2">
      <c r="A8" s="105" t="s">
        <v>114</v>
      </c>
      <c r="B8" s="106">
        <v>36877171.449999996</v>
      </c>
      <c r="C8" s="106">
        <v>50567028.170000002</v>
      </c>
      <c r="D8" s="88">
        <f t="shared" si="0"/>
        <v>-0.27072693839108808</v>
      </c>
      <c r="E8" s="106">
        <v>5362632777.6399994</v>
      </c>
      <c r="F8" s="106">
        <v>5617771723.9899988</v>
      </c>
      <c r="G8" s="88">
        <f t="shared" si="1"/>
        <v>-4.541639619503586E-2</v>
      </c>
      <c r="H8" s="106">
        <v>0</v>
      </c>
      <c r="I8" s="106">
        <v>0</v>
      </c>
      <c r="J8" s="88" t="e">
        <f t="shared" si="2"/>
        <v>#DIV/0!</v>
      </c>
      <c r="K8" s="32">
        <f t="shared" si="3"/>
        <v>26813163.888199996</v>
      </c>
      <c r="L8" s="32">
        <f t="shared" si="3"/>
        <v>28088858.619949996</v>
      </c>
    </row>
    <row r="9" spans="1:13" x14ac:dyDescent="0.2">
      <c r="A9" s="105" t="s">
        <v>35</v>
      </c>
      <c r="B9" s="107">
        <v>764893167.49000001</v>
      </c>
      <c r="C9" s="107">
        <v>771875064.86000001</v>
      </c>
      <c r="D9" s="108">
        <f t="shared" si="0"/>
        <v>-9.0453723508562324E-3</v>
      </c>
      <c r="E9" s="109">
        <v>110696242170.97002</v>
      </c>
      <c r="F9" s="109">
        <v>84998445395.710007</v>
      </c>
      <c r="G9" s="110">
        <f t="shared" si="1"/>
        <v>0.30233255038517465</v>
      </c>
      <c r="H9" s="107">
        <v>844749155.88999999</v>
      </c>
      <c r="I9" s="107">
        <v>657148389.38</v>
      </c>
      <c r="J9" s="108">
        <f t="shared" si="2"/>
        <v>0.285477023974746</v>
      </c>
      <c r="K9" s="109">
        <f t="shared" si="3"/>
        <v>553481210.85485005</v>
      </c>
      <c r="L9" s="109">
        <f t="shared" si="3"/>
        <v>424992226.97855002</v>
      </c>
    </row>
    <row r="11" spans="1:13" ht="16" thickBot="1" x14ac:dyDescent="0.25">
      <c r="E11" s="77" t="s">
        <v>139</v>
      </c>
    </row>
    <row r="12" spans="1:13" x14ac:dyDescent="0.2">
      <c r="A12" s="171" t="s">
        <v>130</v>
      </c>
      <c r="B12" s="172"/>
      <c r="C12" s="172"/>
      <c r="D12" s="172"/>
      <c r="E12" s="172"/>
      <c r="F12" s="172"/>
      <c r="G12" s="172"/>
      <c r="H12" s="172"/>
      <c r="I12" s="173"/>
    </row>
    <row r="13" spans="1:13" ht="32" x14ac:dyDescent="0.2">
      <c r="A13" s="147" t="s">
        <v>30</v>
      </c>
      <c r="B13" s="148" t="s">
        <v>131</v>
      </c>
      <c r="C13" s="148" t="s">
        <v>132</v>
      </c>
      <c r="D13" s="148" t="s">
        <v>133</v>
      </c>
      <c r="E13" s="148" t="s">
        <v>134</v>
      </c>
      <c r="F13" s="148" t="s">
        <v>135</v>
      </c>
      <c r="G13" s="148" t="s">
        <v>136</v>
      </c>
      <c r="H13" s="148" t="s">
        <v>137</v>
      </c>
      <c r="I13" s="149" t="s">
        <v>138</v>
      </c>
    </row>
    <row r="14" spans="1:13" x14ac:dyDescent="0.2">
      <c r="A14" s="31">
        <v>45108</v>
      </c>
      <c r="B14" s="32">
        <v>50574350.829999998</v>
      </c>
      <c r="C14" s="32">
        <v>51831333.340000004</v>
      </c>
      <c r="D14" s="32">
        <v>13200237566.179998</v>
      </c>
      <c r="E14" s="32">
        <v>13140021389.309999</v>
      </c>
      <c r="F14" s="32">
        <v>66001187.830899999</v>
      </c>
      <c r="G14" s="32">
        <v>65700106.946550004</v>
      </c>
      <c r="H14" s="32">
        <v>112455455.13999999</v>
      </c>
      <c r="I14" s="150">
        <v>107660570.72</v>
      </c>
    </row>
    <row r="15" spans="1:13" x14ac:dyDescent="0.2">
      <c r="A15" s="31">
        <v>45139</v>
      </c>
      <c r="B15" s="32">
        <v>53908966.82</v>
      </c>
      <c r="C15" s="32">
        <v>54632115.25</v>
      </c>
      <c r="D15" s="32">
        <v>15357188889.5</v>
      </c>
      <c r="E15" s="32">
        <v>13258577329.889999</v>
      </c>
      <c r="F15" s="32">
        <v>76785944.447500005</v>
      </c>
      <c r="G15" s="32">
        <v>66292886.649450004</v>
      </c>
      <c r="H15" s="32">
        <v>127444427.45</v>
      </c>
      <c r="I15" s="150">
        <v>108072496.28999999</v>
      </c>
    </row>
    <row r="16" spans="1:13" x14ac:dyDescent="0.2">
      <c r="A16" s="31">
        <v>45170</v>
      </c>
      <c r="B16" s="32">
        <v>50991455.349999994</v>
      </c>
      <c r="C16" s="32">
        <v>54948306.350000001</v>
      </c>
      <c r="D16" s="32">
        <v>16396073421.110001</v>
      </c>
      <c r="E16" s="32">
        <v>13541378567.48</v>
      </c>
      <c r="F16" s="32">
        <v>81980367.105550006</v>
      </c>
      <c r="G16" s="32">
        <v>67706892.837400004</v>
      </c>
      <c r="H16" s="32">
        <v>125131606.73</v>
      </c>
      <c r="I16" s="150">
        <v>101653601.58000001</v>
      </c>
    </row>
    <row r="17" spans="1:9" x14ac:dyDescent="0.2">
      <c r="A17" s="31">
        <v>45200</v>
      </c>
      <c r="B17" s="32">
        <v>51127736.199999996</v>
      </c>
      <c r="C17" s="32">
        <v>55149903.709999993</v>
      </c>
      <c r="D17" s="32">
        <v>15985395986.470001</v>
      </c>
      <c r="E17" s="32">
        <v>12953809023.529999</v>
      </c>
      <c r="F17" s="32">
        <v>79926979.93235001</v>
      </c>
      <c r="G17" s="32">
        <v>64769045.117650002</v>
      </c>
      <c r="H17" s="32">
        <v>120754148.46000001</v>
      </c>
      <c r="I17" s="150">
        <v>106504250.90000001</v>
      </c>
    </row>
    <row r="18" spans="1:9" x14ac:dyDescent="0.2">
      <c r="A18" s="31">
        <v>45231</v>
      </c>
      <c r="B18" s="32">
        <v>50529025.450000003</v>
      </c>
      <c r="C18" s="32">
        <v>52641931.030000001</v>
      </c>
      <c r="D18" s="32">
        <v>15015004423.360001</v>
      </c>
      <c r="E18" s="32">
        <v>12361038223.66</v>
      </c>
      <c r="F18" s="32">
        <v>75075022.116799995</v>
      </c>
      <c r="G18" s="32">
        <v>61805191.118300006</v>
      </c>
      <c r="H18" s="32">
        <v>109823343.94999999</v>
      </c>
      <c r="I18" s="150">
        <v>101014954.28</v>
      </c>
    </row>
    <row r="19" spans="1:9" x14ac:dyDescent="0.2">
      <c r="A19" s="31">
        <v>45261</v>
      </c>
      <c r="B19" s="32">
        <v>50524079.710000001</v>
      </c>
      <c r="C19" s="32">
        <v>54515130.200000003</v>
      </c>
      <c r="D19" s="32">
        <v>14368713531.15</v>
      </c>
      <c r="E19" s="32">
        <v>12593443366.59</v>
      </c>
      <c r="F19" s="32">
        <v>71843567.655750006</v>
      </c>
      <c r="G19" s="32">
        <v>62967216.832950003</v>
      </c>
      <c r="H19" s="32">
        <v>102897958.63</v>
      </c>
      <c r="I19" s="150">
        <v>101465548.89000002</v>
      </c>
    </row>
    <row r="20" spans="1:9" x14ac:dyDescent="0.2">
      <c r="A20" s="31">
        <v>45292</v>
      </c>
      <c r="B20" s="32">
        <v>54459370.06000001</v>
      </c>
      <c r="C20" s="32">
        <v>55712604.75</v>
      </c>
      <c r="D20" s="32">
        <v>14992330638.290001</v>
      </c>
      <c r="E20" s="32">
        <v>12749496562.09</v>
      </c>
      <c r="F20" s="32">
        <v>74961653.19145</v>
      </c>
      <c r="G20" s="32">
        <v>63747482.810450003</v>
      </c>
      <c r="H20" s="32">
        <v>106715644.13999999</v>
      </c>
      <c r="I20" s="150">
        <v>105840639.06</v>
      </c>
    </row>
    <row r="21" spans="1:9" x14ac:dyDescent="0.2">
      <c r="A21" s="31">
        <v>45323</v>
      </c>
      <c r="B21" s="32">
        <v>51373083.350000001</v>
      </c>
      <c r="C21" s="32">
        <v>50584457.579999998</v>
      </c>
      <c r="D21" s="32">
        <v>14543818238.059999</v>
      </c>
      <c r="E21" s="32">
        <v>13629019456.389999</v>
      </c>
      <c r="F21" s="32">
        <v>72719091.190300003</v>
      </c>
      <c r="G21" s="32">
        <v>68145097.281950012</v>
      </c>
      <c r="H21" s="32">
        <v>105631346.66999999</v>
      </c>
      <c r="I21" s="150">
        <v>115388487.84</v>
      </c>
    </row>
    <row r="22" spans="1:9" x14ac:dyDescent="0.2">
      <c r="A22" s="31">
        <v>45352</v>
      </c>
      <c r="B22" s="32">
        <v>52121648.829999998</v>
      </c>
      <c r="C22" s="32">
        <v>50031093.560000002</v>
      </c>
      <c r="D22" s="32">
        <v>14980528397.309999</v>
      </c>
      <c r="E22" s="32">
        <v>14160156935.459999</v>
      </c>
      <c r="F22" s="32">
        <v>74902641.986550003</v>
      </c>
      <c r="G22" s="32">
        <v>70800784.677299991</v>
      </c>
      <c r="H22" s="32">
        <v>109233925.34999999</v>
      </c>
      <c r="I22" s="150">
        <v>119401834.04999998</v>
      </c>
    </row>
    <row r="23" spans="1:9" x14ac:dyDescent="0.2">
      <c r="A23" s="31">
        <v>45383</v>
      </c>
      <c r="B23" s="32">
        <v>51192116.680000007</v>
      </c>
      <c r="C23" s="32">
        <v>46466303.839999996</v>
      </c>
      <c r="D23" s="32">
        <v>14935739038.18</v>
      </c>
      <c r="E23" s="32">
        <v>13480904638.379999</v>
      </c>
      <c r="F23" s="32">
        <v>74678695.190899998</v>
      </c>
      <c r="G23" s="32">
        <v>67404523.191899985</v>
      </c>
      <c r="H23" s="32">
        <v>109222796.59</v>
      </c>
      <c r="I23" s="150">
        <v>113739851.05</v>
      </c>
    </row>
    <row r="24" spans="1:9" x14ac:dyDescent="0.2">
      <c r="A24" s="31">
        <v>45413</v>
      </c>
      <c r="B24" s="32">
        <v>55034279.240000002</v>
      </c>
      <c r="C24" s="32">
        <v>51276514.079999998</v>
      </c>
      <c r="D24" s="32">
        <v>15596488633.249998</v>
      </c>
      <c r="E24" s="32">
        <v>14267161843.509998</v>
      </c>
      <c r="F24" s="32">
        <v>77982443.16624999</v>
      </c>
      <c r="G24" s="32">
        <v>71335809.217550009</v>
      </c>
      <c r="H24" s="32">
        <v>115462453.47999999</v>
      </c>
      <c r="I24" s="150">
        <v>120887219.69</v>
      </c>
    </row>
    <row r="25" spans="1:9" x14ac:dyDescent="0.2">
      <c r="A25" s="31">
        <v>45444</v>
      </c>
      <c r="B25" s="32">
        <v>51985101</v>
      </c>
      <c r="C25" s="32">
        <v>52526336</v>
      </c>
      <c r="D25" s="32">
        <v>15033774433</v>
      </c>
      <c r="E25" s="32">
        <v>13285000667</v>
      </c>
      <c r="F25" s="32">
        <v>0</v>
      </c>
      <c r="G25" s="32">
        <v>0</v>
      </c>
      <c r="H25" s="32">
        <v>0</v>
      </c>
      <c r="I25" s="150">
        <v>0</v>
      </c>
    </row>
    <row r="26" spans="1:9" ht="16" thickBot="1" x14ac:dyDescent="0.25">
      <c r="A26" s="34" t="s">
        <v>38</v>
      </c>
      <c r="B26" s="151">
        <f t="shared" ref="B26:I26" si="4">SUM(B14:B25)</f>
        <v>623821213.51999998</v>
      </c>
      <c r="C26" s="41">
        <f t="shared" si="4"/>
        <v>630316029.68999994</v>
      </c>
      <c r="D26" s="151">
        <f t="shared" si="4"/>
        <v>180405293195.85999</v>
      </c>
      <c r="E26" s="41">
        <f t="shared" si="4"/>
        <v>159420008003.29001</v>
      </c>
      <c r="F26" s="41">
        <f t="shared" si="4"/>
        <v>826857593.81429994</v>
      </c>
      <c r="G26" s="41">
        <f t="shared" si="4"/>
        <v>730675036.68145013</v>
      </c>
      <c r="H26" s="41">
        <f t="shared" si="4"/>
        <v>1244773106.5899999</v>
      </c>
      <c r="I26" s="152">
        <f t="shared" si="4"/>
        <v>1201629454.3500001</v>
      </c>
    </row>
    <row r="29" spans="1:9" ht="16" thickBot="1" x14ac:dyDescent="0.25">
      <c r="D29" s="77" t="s">
        <v>6</v>
      </c>
    </row>
    <row r="30" spans="1:9" x14ac:dyDescent="0.2">
      <c r="A30" s="171" t="s">
        <v>140</v>
      </c>
      <c r="B30" s="172"/>
      <c r="C30" s="172"/>
      <c r="D30" s="172"/>
      <c r="E30" s="172"/>
      <c r="F30" s="172"/>
      <c r="G30" s="172"/>
      <c r="H30" s="172"/>
      <c r="I30" s="173"/>
    </row>
    <row r="31" spans="1:9" ht="32" x14ac:dyDescent="0.2">
      <c r="A31" s="147" t="s">
        <v>30</v>
      </c>
      <c r="B31" s="148" t="s">
        <v>131</v>
      </c>
      <c r="C31" s="148" t="s">
        <v>132</v>
      </c>
      <c r="D31" s="148" t="s">
        <v>133</v>
      </c>
      <c r="E31" s="148" t="s">
        <v>134</v>
      </c>
      <c r="F31" s="148" t="s">
        <v>135</v>
      </c>
      <c r="G31" s="148" t="s">
        <v>136</v>
      </c>
      <c r="H31" s="148" t="s">
        <v>137</v>
      </c>
      <c r="I31" s="149" t="s">
        <v>138</v>
      </c>
    </row>
    <row r="32" spans="1:9" x14ac:dyDescent="0.2">
      <c r="A32" s="31">
        <v>44743</v>
      </c>
      <c r="B32" s="32">
        <v>53759969.870000005</v>
      </c>
      <c r="C32" s="32">
        <v>68242142.159999996</v>
      </c>
      <c r="D32" s="32">
        <v>13610322437.950001</v>
      </c>
      <c r="E32" s="32">
        <v>7980434797.7300005</v>
      </c>
      <c r="F32" s="32">
        <v>68051612.189750016</v>
      </c>
      <c r="G32" s="32">
        <v>39902173.988650002</v>
      </c>
      <c r="H32" s="32">
        <v>107661466.32999998</v>
      </c>
      <c r="I32" s="150">
        <v>59992213.969999991</v>
      </c>
    </row>
    <row r="33" spans="1:9" x14ac:dyDescent="0.2">
      <c r="A33" s="31">
        <v>44774</v>
      </c>
      <c r="B33" s="32">
        <v>56635039.449999996</v>
      </c>
      <c r="C33" s="32">
        <v>67922553.120000005</v>
      </c>
      <c r="D33" s="32">
        <v>13733315995.669998</v>
      </c>
      <c r="E33" s="32">
        <v>8111267417.210001</v>
      </c>
      <c r="F33" s="32">
        <v>68666579.978349984</v>
      </c>
      <c r="G33" s="32">
        <v>40556337.086050004</v>
      </c>
      <c r="H33" s="32">
        <v>108072496.28999999</v>
      </c>
      <c r="I33" s="150">
        <v>60701188.799999997</v>
      </c>
    </row>
    <row r="34" spans="1:9" x14ac:dyDescent="0.2">
      <c r="A34" s="31">
        <v>44805</v>
      </c>
      <c r="B34" s="32">
        <v>57012783.209999993</v>
      </c>
      <c r="C34" s="32">
        <v>66938577.909999996</v>
      </c>
      <c r="D34" s="32">
        <v>14041242785.030001</v>
      </c>
      <c r="E34" s="32">
        <v>8044412986.8899994</v>
      </c>
      <c r="F34" s="32">
        <v>70206213.925150007</v>
      </c>
      <c r="G34" s="32">
        <v>40222064.934450001</v>
      </c>
      <c r="H34" s="32">
        <v>111985623.54000001</v>
      </c>
      <c r="I34" s="150">
        <v>61724170.850000001</v>
      </c>
    </row>
    <row r="35" spans="1:9" x14ac:dyDescent="0.2">
      <c r="A35" s="31">
        <v>44835</v>
      </c>
      <c r="B35" s="32">
        <v>57355795.739999995</v>
      </c>
      <c r="C35" s="32">
        <v>67430026.689999998</v>
      </c>
      <c r="D35" s="32">
        <v>13462809985.869999</v>
      </c>
      <c r="E35" s="32">
        <v>8814693090.2099991</v>
      </c>
      <c r="F35" s="32">
        <v>67314049.929350004</v>
      </c>
      <c r="G35" s="32">
        <v>44073465.451049998</v>
      </c>
      <c r="H35" s="32">
        <v>106525963.07000001</v>
      </c>
      <c r="I35" s="150">
        <v>63527929.939999998</v>
      </c>
    </row>
    <row r="36" spans="1:9" x14ac:dyDescent="0.2">
      <c r="A36" s="31">
        <v>44866</v>
      </c>
      <c r="B36" s="32">
        <v>54804848.629999995</v>
      </c>
      <c r="C36" s="32">
        <v>63660280.980000004</v>
      </c>
      <c r="D36" s="32">
        <v>12860017170.189999</v>
      </c>
      <c r="E36" s="32">
        <v>9155278773.6699982</v>
      </c>
      <c r="F36" s="32">
        <v>64300085.850950003</v>
      </c>
      <c r="G36" s="32">
        <v>45776393.868349999</v>
      </c>
      <c r="H36" s="32">
        <v>101003833.96000001</v>
      </c>
      <c r="I36" s="150">
        <v>68152521.11999999</v>
      </c>
    </row>
    <row r="37" spans="1:9" x14ac:dyDescent="0.2">
      <c r="A37" s="31">
        <v>44896</v>
      </c>
      <c r="B37" s="32">
        <v>56809273.340000004</v>
      </c>
      <c r="C37" s="32">
        <v>63724259.030000001</v>
      </c>
      <c r="D37" s="32">
        <v>13111546403.300003</v>
      </c>
      <c r="E37" s="32">
        <v>9140402694.6399994</v>
      </c>
      <c r="F37" s="32">
        <v>65557732.016500011</v>
      </c>
      <c r="G37" s="32">
        <v>45702013.473200008</v>
      </c>
      <c r="H37" s="32">
        <v>101465548.89</v>
      </c>
      <c r="I37" s="150">
        <v>68974743.900000006</v>
      </c>
    </row>
    <row r="38" spans="1:9" x14ac:dyDescent="0.2">
      <c r="A38" s="31">
        <v>44927</v>
      </c>
      <c r="B38" s="32">
        <v>58129647.489999995</v>
      </c>
      <c r="C38" s="32">
        <v>64025180.290000014</v>
      </c>
      <c r="D38" s="32">
        <v>13289114435</v>
      </c>
      <c r="E38" s="32">
        <v>9346347379.9099998</v>
      </c>
      <c r="F38" s="32">
        <v>66445572.174999997</v>
      </c>
      <c r="G38" s="32">
        <v>46731736.899549998</v>
      </c>
      <c r="H38" s="32">
        <v>105840639.06</v>
      </c>
      <c r="I38" s="150">
        <v>69404410.789999992</v>
      </c>
    </row>
    <row r="39" spans="1:9" x14ac:dyDescent="0.2">
      <c r="A39" s="31">
        <v>44958</v>
      </c>
      <c r="B39" s="32">
        <v>52615747.450000003</v>
      </c>
      <c r="C39" s="32">
        <v>58756960.740000002</v>
      </c>
      <c r="D39" s="32">
        <v>14167200991.93</v>
      </c>
      <c r="E39" s="32">
        <v>8933616581.2999992</v>
      </c>
      <c r="F39" s="32">
        <v>70836004.95965001</v>
      </c>
      <c r="G39" s="32">
        <v>44668082.906499997</v>
      </c>
      <c r="H39" s="32">
        <v>115388487.83999999</v>
      </c>
      <c r="I39" s="150">
        <v>69797908.329999998</v>
      </c>
    </row>
    <row r="40" spans="1:9" x14ac:dyDescent="0.2">
      <c r="A40" s="31">
        <v>44986</v>
      </c>
      <c r="B40" s="32">
        <v>52194374.340000004</v>
      </c>
      <c r="C40" s="32">
        <v>63101299.260000005</v>
      </c>
      <c r="D40" s="32">
        <v>14756349868.93</v>
      </c>
      <c r="E40" s="32">
        <v>9372816783.5</v>
      </c>
      <c r="F40" s="32">
        <v>73781749.34465</v>
      </c>
      <c r="G40" s="32">
        <v>46864083.917499997</v>
      </c>
      <c r="H40" s="32">
        <v>119325858.05</v>
      </c>
      <c r="I40" s="150">
        <v>72942255.25999999</v>
      </c>
    </row>
    <row r="41" spans="1:9" x14ac:dyDescent="0.2">
      <c r="A41" s="31">
        <v>45017</v>
      </c>
      <c r="B41" s="32">
        <v>48370891.390000001</v>
      </c>
      <c r="C41" s="32">
        <v>60840999.079999998</v>
      </c>
      <c r="D41" s="32">
        <v>14019594590.789999</v>
      </c>
      <c r="E41" s="32">
        <v>9038302869.9799995</v>
      </c>
      <c r="F41" s="32">
        <v>70097972.953950003</v>
      </c>
      <c r="G41" s="32">
        <v>45191514.3499</v>
      </c>
      <c r="H41" s="32">
        <v>113739851.05000001</v>
      </c>
      <c r="I41" s="150">
        <v>70750303.560000002</v>
      </c>
    </row>
    <row r="42" spans="1:9" x14ac:dyDescent="0.2">
      <c r="A42" s="31">
        <v>45047</v>
      </c>
      <c r="B42" s="32">
        <v>53182328.920000002</v>
      </c>
      <c r="C42" s="32">
        <v>59109938.719999999</v>
      </c>
      <c r="D42" s="32">
        <v>14797704205.150002</v>
      </c>
      <c r="E42" s="32">
        <v>9006988572.8100014</v>
      </c>
      <c r="F42" s="32">
        <v>73988521.025749996</v>
      </c>
      <c r="G42" s="32">
        <v>45034942.864050008</v>
      </c>
      <c r="H42" s="32">
        <v>120887219.69</v>
      </c>
      <c r="I42" s="150">
        <v>71490455.189999998</v>
      </c>
    </row>
    <row r="43" spans="1:9" x14ac:dyDescent="0.2">
      <c r="A43" s="31">
        <v>45078</v>
      </c>
      <c r="B43" s="32">
        <v>55815337.239999995</v>
      </c>
      <c r="C43" s="32">
        <v>61140949.50999999</v>
      </c>
      <c r="D43" s="32">
        <v>14501135678.419998</v>
      </c>
      <c r="E43" s="32">
        <v>13751680223.120001</v>
      </c>
      <c r="F43" s="32">
        <v>72505678.392100006</v>
      </c>
      <c r="G43" s="32">
        <v>68758401.115600005</v>
      </c>
      <c r="H43" s="32">
        <v>117534769.58000001</v>
      </c>
      <c r="I43" s="150">
        <v>107451575.63</v>
      </c>
    </row>
    <row r="44" spans="1:9" ht="16" thickBot="1" x14ac:dyDescent="0.25">
      <c r="A44" s="34" t="s">
        <v>38</v>
      </c>
      <c r="B44" s="41">
        <f>(SUM(B32:B43))</f>
        <v>656686037.06999993</v>
      </c>
      <c r="C44" s="41">
        <f t="shared" ref="C44:I44" si="5">SUM(C32:C43)</f>
        <v>764893167.49000013</v>
      </c>
      <c r="D44" s="41">
        <f>(SUM(D32:D43))</f>
        <v>166350354548.22998</v>
      </c>
      <c r="E44" s="41">
        <f t="shared" si="5"/>
        <v>110696242170.96999</v>
      </c>
      <c r="F44" s="41">
        <f t="shared" si="5"/>
        <v>831751772.74115014</v>
      </c>
      <c r="G44" s="41">
        <f t="shared" si="5"/>
        <v>553481210.85485005</v>
      </c>
      <c r="H44" s="41">
        <f t="shared" si="5"/>
        <v>1329431757.3499999</v>
      </c>
      <c r="I44" s="152">
        <f t="shared" si="5"/>
        <v>844909677.33999979</v>
      </c>
    </row>
  </sheetData>
  <mergeCells count="3">
    <mergeCell ref="A1:L1"/>
    <mergeCell ref="A12:I12"/>
    <mergeCell ref="A30:I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42FD-3FEA-41F9-BA99-4CB521EC84E8}">
  <dimension ref="A2:L26"/>
  <sheetViews>
    <sheetView workbookViewId="0">
      <selection activeCell="L23" sqref="L23"/>
    </sheetView>
  </sheetViews>
  <sheetFormatPr baseColWidth="10" defaultColWidth="8.83203125" defaultRowHeight="15" x14ac:dyDescent="0.2"/>
  <cols>
    <col min="2" max="2" width="12.1640625" bestFit="1" customWidth="1"/>
    <col min="3" max="3" width="12.5" bestFit="1" customWidth="1"/>
    <col min="4" max="4" width="12.1640625" bestFit="1" customWidth="1"/>
    <col min="5" max="5" width="12.5" bestFit="1" customWidth="1"/>
    <col min="6" max="8" width="11.5" bestFit="1" customWidth="1"/>
    <col min="9" max="10" width="12.5" bestFit="1" customWidth="1"/>
    <col min="11" max="11" width="12.1640625" bestFit="1" customWidth="1"/>
    <col min="12" max="12" width="14.1640625" bestFit="1" customWidth="1"/>
  </cols>
  <sheetData>
    <row r="2" spans="1:12" ht="16" thickBot="1" x14ac:dyDescent="0.25">
      <c r="E2" s="77" t="s">
        <v>51</v>
      </c>
    </row>
    <row r="3" spans="1:12" ht="17" thickBot="1" x14ac:dyDescent="0.25">
      <c r="A3" s="174" t="s">
        <v>115</v>
      </c>
      <c r="B3" s="175"/>
      <c r="C3" s="175"/>
      <c r="D3" s="175"/>
      <c r="E3" s="175"/>
      <c r="F3" s="175"/>
      <c r="G3" s="175"/>
      <c r="H3" s="175"/>
      <c r="I3" s="175"/>
      <c r="J3" s="176"/>
    </row>
    <row r="4" spans="1:12" ht="17" thickBot="1" x14ac:dyDescent="0.25">
      <c r="A4" s="112"/>
      <c r="B4" s="113"/>
      <c r="C4" s="113"/>
      <c r="D4" s="174" t="s">
        <v>116</v>
      </c>
      <c r="E4" s="175"/>
      <c r="F4" s="175"/>
      <c r="G4" s="175"/>
      <c r="H4" s="176"/>
      <c r="I4" s="174" t="s">
        <v>117</v>
      </c>
      <c r="J4" s="176"/>
    </row>
    <row r="5" spans="1:12" ht="57" thickBot="1" x14ac:dyDescent="0.25">
      <c r="A5" s="114" t="s">
        <v>118</v>
      </c>
      <c r="B5" s="115" t="s">
        <v>119</v>
      </c>
      <c r="C5" s="116" t="s">
        <v>120</v>
      </c>
      <c r="D5" s="117" t="s">
        <v>121</v>
      </c>
      <c r="E5" s="118" t="s">
        <v>122</v>
      </c>
      <c r="F5" s="118" t="s">
        <v>123</v>
      </c>
      <c r="G5" s="118" t="s">
        <v>124</v>
      </c>
      <c r="H5" s="119" t="s">
        <v>125</v>
      </c>
      <c r="I5" s="120" t="s">
        <v>126</v>
      </c>
      <c r="J5" s="121" t="s">
        <v>127</v>
      </c>
    </row>
    <row r="6" spans="1:12" x14ac:dyDescent="0.2">
      <c r="A6" s="122" t="s">
        <v>128</v>
      </c>
      <c r="B6" s="123">
        <v>958</v>
      </c>
      <c r="C6" s="124">
        <v>109104102.50000007</v>
      </c>
      <c r="D6" s="125">
        <v>7782033.040000001</v>
      </c>
      <c r="E6" s="126">
        <v>16234057.289999979</v>
      </c>
      <c r="F6" s="126">
        <v>22290221.030000024</v>
      </c>
      <c r="G6" s="126">
        <v>10496009.389999989</v>
      </c>
      <c r="H6" s="127">
        <v>52301781.749999925</v>
      </c>
      <c r="I6" s="128">
        <v>2494223.54</v>
      </c>
      <c r="J6" s="129">
        <f>C6-I6</f>
        <v>106609878.96000007</v>
      </c>
    </row>
    <row r="7" spans="1:12" ht="16" thickBot="1" x14ac:dyDescent="0.25">
      <c r="A7" s="130" t="s">
        <v>5</v>
      </c>
      <c r="B7" s="131">
        <v>574</v>
      </c>
      <c r="C7" s="132">
        <v>101916523.17999983</v>
      </c>
      <c r="D7" s="133">
        <v>27973607.130000029</v>
      </c>
      <c r="E7" s="134">
        <v>36788253.489999957</v>
      </c>
      <c r="F7" s="134">
        <v>5521849.0099999998</v>
      </c>
      <c r="G7" s="134">
        <v>2469528.8000000012</v>
      </c>
      <c r="H7" s="135">
        <v>29163284.749999993</v>
      </c>
      <c r="I7" s="136">
        <v>581247.16</v>
      </c>
      <c r="J7" s="137">
        <f>C7-I7</f>
        <v>101335276.01999983</v>
      </c>
    </row>
    <row r="8" spans="1:12" ht="16" thickBot="1" x14ac:dyDescent="0.25">
      <c r="A8" s="138" t="s">
        <v>78</v>
      </c>
      <c r="B8" s="139">
        <f t="shared" ref="B8:J8" si="0">SUM(B6:B7)</f>
        <v>1532</v>
      </c>
      <c r="C8" s="139">
        <f t="shared" si="0"/>
        <v>211020625.67999989</v>
      </c>
      <c r="D8" s="139">
        <f t="shared" si="0"/>
        <v>35755640.170000032</v>
      </c>
      <c r="E8" s="139">
        <f t="shared" si="0"/>
        <v>53022310.779999934</v>
      </c>
      <c r="F8" s="139">
        <f t="shared" si="0"/>
        <v>27812070.040000021</v>
      </c>
      <c r="G8" s="139">
        <f t="shared" si="0"/>
        <v>12965538.18999999</v>
      </c>
      <c r="H8" s="139">
        <f t="shared" si="0"/>
        <v>81465066.499999911</v>
      </c>
      <c r="I8" s="140">
        <f t="shared" si="0"/>
        <v>3075470.7</v>
      </c>
      <c r="J8" s="143">
        <f t="shared" si="0"/>
        <v>207945154.9799999</v>
      </c>
    </row>
    <row r="11" spans="1:12" x14ac:dyDescent="0.2">
      <c r="E11" s="77" t="s">
        <v>6</v>
      </c>
      <c r="H11" s="77" t="s">
        <v>7</v>
      </c>
    </row>
    <row r="12" spans="1:12" x14ac:dyDescent="0.2">
      <c r="A12" s="177" t="s">
        <v>129</v>
      </c>
      <c r="B12" s="177"/>
      <c r="C12" s="177"/>
      <c r="D12" s="177"/>
      <c r="E12" s="177"/>
      <c r="H12" s="177" t="s">
        <v>129</v>
      </c>
      <c r="I12" s="177"/>
      <c r="J12" s="177"/>
      <c r="K12" s="177"/>
      <c r="L12" s="177"/>
    </row>
    <row r="13" spans="1:12" x14ac:dyDescent="0.2">
      <c r="A13" s="79" t="s">
        <v>30</v>
      </c>
      <c r="B13" s="141" t="s">
        <v>12</v>
      </c>
      <c r="C13" s="141" t="s">
        <v>13</v>
      </c>
      <c r="D13" s="141" t="s">
        <v>14</v>
      </c>
      <c r="E13" s="141" t="s">
        <v>35</v>
      </c>
      <c r="H13" s="79" t="s">
        <v>30</v>
      </c>
      <c r="I13" s="38" t="s">
        <v>12</v>
      </c>
      <c r="J13" s="38" t="s">
        <v>13</v>
      </c>
      <c r="K13" s="38" t="s">
        <v>14</v>
      </c>
      <c r="L13" s="38" t="s">
        <v>35</v>
      </c>
    </row>
    <row r="14" spans="1:12" x14ac:dyDescent="0.2">
      <c r="A14" s="46">
        <v>44743</v>
      </c>
      <c r="B14" s="32">
        <v>325193581.98999989</v>
      </c>
      <c r="C14" s="32">
        <v>254605116.21000022</v>
      </c>
      <c r="D14" s="32">
        <v>121650997.94000024</v>
      </c>
      <c r="E14" s="80">
        <f>B14+C14+D14</f>
        <v>701449696.14000034</v>
      </c>
      <c r="H14" s="46">
        <v>45108</v>
      </c>
      <c r="I14" s="127">
        <v>223364459.75000018</v>
      </c>
      <c r="J14" s="144">
        <v>215949269.52000037</v>
      </c>
      <c r="K14" s="145">
        <v>67887890.929999918</v>
      </c>
      <c r="L14" s="80">
        <f>I14+J14+K14</f>
        <v>507201620.20000052</v>
      </c>
    </row>
    <row r="15" spans="1:12" x14ac:dyDescent="0.2">
      <c r="A15" s="46">
        <v>44774</v>
      </c>
      <c r="B15" s="32">
        <v>192286458.32000023</v>
      </c>
      <c r="C15" s="32">
        <v>202119775.42000026</v>
      </c>
      <c r="D15" s="32">
        <v>137574882.45000002</v>
      </c>
      <c r="E15" s="80">
        <f t="shared" ref="E15:E25" si="1">B15+C15+D15</f>
        <v>531981116.19000053</v>
      </c>
      <c r="H15" s="46">
        <v>45139</v>
      </c>
      <c r="I15" s="32">
        <v>123232748.83</v>
      </c>
      <c r="J15" s="146">
        <v>199834881.95000038</v>
      </c>
      <c r="K15" s="146">
        <v>121875265.16000006</v>
      </c>
      <c r="L15" s="80">
        <f t="shared" ref="L15:L25" si="2">I15+J15+K15</f>
        <v>444942895.94000041</v>
      </c>
    </row>
    <row r="16" spans="1:12" x14ac:dyDescent="0.2">
      <c r="A16" s="46">
        <v>44805</v>
      </c>
      <c r="B16" s="32">
        <v>382781524.41000056</v>
      </c>
      <c r="C16" s="32">
        <v>206224669.38999999</v>
      </c>
      <c r="D16" s="32">
        <v>115050277.00000016</v>
      </c>
      <c r="E16" s="80">
        <f t="shared" si="1"/>
        <v>704056470.80000067</v>
      </c>
      <c r="H16" s="46">
        <v>45170</v>
      </c>
      <c r="I16" s="32">
        <v>207671602.75000018</v>
      </c>
      <c r="J16" s="153">
        <v>348092994.0899992</v>
      </c>
      <c r="K16" s="146">
        <v>126800119.07000002</v>
      </c>
      <c r="L16" s="80">
        <f>I16+J16+K16</f>
        <v>682564715.90999949</v>
      </c>
    </row>
    <row r="17" spans="1:12" x14ac:dyDescent="0.2">
      <c r="A17" s="46">
        <v>44835</v>
      </c>
      <c r="B17" s="32">
        <v>392095991.75999993</v>
      </c>
      <c r="C17" s="32">
        <v>208104903.36999997</v>
      </c>
      <c r="D17" s="32">
        <v>201508654.6300002</v>
      </c>
      <c r="E17" s="80">
        <f t="shared" si="1"/>
        <v>801709549.76000011</v>
      </c>
      <c r="H17" s="46">
        <v>45200</v>
      </c>
      <c r="I17" s="32">
        <v>317921454.23000026</v>
      </c>
      <c r="J17" s="146">
        <v>308793792.15000015</v>
      </c>
      <c r="K17" s="146">
        <v>65684838.400000051</v>
      </c>
      <c r="L17" s="80">
        <f t="shared" si="2"/>
        <v>692400084.78000045</v>
      </c>
    </row>
    <row r="18" spans="1:12" x14ac:dyDescent="0.2">
      <c r="A18" s="46">
        <v>44866</v>
      </c>
      <c r="B18" s="32">
        <v>421962716.82999992</v>
      </c>
      <c r="C18" s="32">
        <v>200412180.11999971</v>
      </c>
      <c r="D18" s="32">
        <v>183012678.83999988</v>
      </c>
      <c r="E18" s="80">
        <f t="shared" si="1"/>
        <v>805387575.78999949</v>
      </c>
      <c r="H18" s="46">
        <v>45231</v>
      </c>
      <c r="I18" s="32">
        <v>599553583.16000009</v>
      </c>
      <c r="J18" s="146">
        <v>317995565.19000006</v>
      </c>
      <c r="K18" s="146">
        <v>181227981.97999999</v>
      </c>
      <c r="L18" s="80">
        <f t="shared" si="2"/>
        <v>1098777130.3300002</v>
      </c>
    </row>
    <row r="19" spans="1:12" x14ac:dyDescent="0.2">
      <c r="A19" s="46">
        <v>44896</v>
      </c>
      <c r="B19" s="32">
        <v>222749973.01000017</v>
      </c>
      <c r="C19" s="32">
        <f>170179717.85-4030963.81</f>
        <v>166148754.03999999</v>
      </c>
      <c r="D19" s="32">
        <v>155837903.47000021</v>
      </c>
      <c r="E19" s="80">
        <f t="shared" si="1"/>
        <v>544736630.52000046</v>
      </c>
      <c r="H19" s="46">
        <v>45261</v>
      </c>
      <c r="I19" s="33">
        <v>690112001.49999952</v>
      </c>
      <c r="J19" s="146">
        <v>380382013.049999</v>
      </c>
      <c r="K19" s="146">
        <v>206396916.1699999</v>
      </c>
      <c r="L19" s="80">
        <f t="shared" si="2"/>
        <v>1276890930.7199984</v>
      </c>
    </row>
    <row r="20" spans="1:12" x14ac:dyDescent="0.2">
      <c r="A20" s="46">
        <v>44927</v>
      </c>
      <c r="B20" s="32">
        <v>231224947.8400003</v>
      </c>
      <c r="C20" s="32">
        <v>217739601.94999981</v>
      </c>
      <c r="D20" s="32">
        <v>95082026.009999737</v>
      </c>
      <c r="E20" s="80">
        <f t="shared" si="1"/>
        <v>544046575.79999983</v>
      </c>
      <c r="H20" s="46">
        <v>45292</v>
      </c>
      <c r="I20" s="32">
        <v>533484512.07999969</v>
      </c>
      <c r="J20" s="32">
        <v>211642778.67999986</v>
      </c>
      <c r="K20" s="32">
        <v>38037868.209999926</v>
      </c>
      <c r="L20" s="80">
        <f t="shared" si="2"/>
        <v>783165158.96999943</v>
      </c>
    </row>
    <row r="21" spans="1:12" x14ac:dyDescent="0.2">
      <c r="A21" s="46">
        <v>44958</v>
      </c>
      <c r="B21" s="32">
        <v>301830458.01999998</v>
      </c>
      <c r="C21" s="32">
        <v>229387538.88999987</v>
      </c>
      <c r="D21" s="32">
        <v>104115833.16000003</v>
      </c>
      <c r="E21" s="80">
        <f t="shared" si="1"/>
        <v>635333830.06999993</v>
      </c>
      <c r="H21" s="46">
        <v>45323</v>
      </c>
      <c r="I21" s="32">
        <v>560476760.83999991</v>
      </c>
      <c r="J21" s="32">
        <v>239242587.67000008</v>
      </c>
      <c r="K21" s="32">
        <v>107120508.89000005</v>
      </c>
      <c r="L21" s="80">
        <f t="shared" si="2"/>
        <v>906839857.4000001</v>
      </c>
    </row>
    <row r="22" spans="1:12" x14ac:dyDescent="0.2">
      <c r="A22" s="46">
        <v>44986</v>
      </c>
      <c r="B22" s="32">
        <v>169493086.90000001</v>
      </c>
      <c r="C22" s="32">
        <f>218148008.12-4030964</f>
        <v>214117044.12</v>
      </c>
      <c r="D22" s="32">
        <v>50213945.280000038</v>
      </c>
      <c r="E22" s="80">
        <f t="shared" si="1"/>
        <v>433824076.30000001</v>
      </c>
      <c r="H22" s="46">
        <v>45352</v>
      </c>
      <c r="I22" s="32">
        <v>562613583.57000005</v>
      </c>
      <c r="J22" s="32">
        <v>373242518.76999992</v>
      </c>
      <c r="K22" s="32">
        <v>87014464.649999961</v>
      </c>
      <c r="L22" s="80">
        <f t="shared" si="2"/>
        <v>1022870566.9899999</v>
      </c>
    </row>
    <row r="23" spans="1:12" x14ac:dyDescent="0.2">
      <c r="A23" s="46">
        <v>45017</v>
      </c>
      <c r="B23" s="32">
        <v>242521870.52999979</v>
      </c>
      <c r="C23" s="32">
        <v>249325079.7899999</v>
      </c>
      <c r="D23" s="32">
        <v>232145366.77999979</v>
      </c>
      <c r="E23" s="80">
        <f t="shared" si="1"/>
        <v>723992317.09999943</v>
      </c>
      <c r="H23" s="46">
        <v>45383</v>
      </c>
      <c r="I23" s="32">
        <v>466581089.92000002</v>
      </c>
      <c r="J23" s="32">
        <v>167848839.90000001</v>
      </c>
      <c r="K23" s="32">
        <v>87026020.459999979</v>
      </c>
      <c r="L23" s="142">
        <f t="shared" si="2"/>
        <v>721455950.27999997</v>
      </c>
    </row>
    <row r="24" spans="1:12" x14ac:dyDescent="0.2">
      <c r="A24" s="46">
        <v>45047</v>
      </c>
      <c r="B24" s="32">
        <v>213536061.93000025</v>
      </c>
      <c r="C24" s="32">
        <v>189018735.83000004</v>
      </c>
      <c r="D24" s="32">
        <v>45175932.039999947</v>
      </c>
      <c r="E24" s="80">
        <f t="shared" si="1"/>
        <v>447730729.80000025</v>
      </c>
      <c r="H24" s="46">
        <v>45413</v>
      </c>
      <c r="I24" s="32">
        <v>0</v>
      </c>
      <c r="J24" s="32">
        <v>0</v>
      </c>
      <c r="K24" s="32">
        <v>0</v>
      </c>
      <c r="L24" s="80">
        <f t="shared" si="2"/>
        <v>0</v>
      </c>
    </row>
    <row r="25" spans="1:12" x14ac:dyDescent="0.2">
      <c r="A25" s="46">
        <v>45078</v>
      </c>
      <c r="B25" s="32">
        <v>114589403.07000002</v>
      </c>
      <c r="C25" s="32">
        <v>112404702.28000002</v>
      </c>
      <c r="D25" s="32">
        <v>36795285.099999994</v>
      </c>
      <c r="E25" s="142">
        <f t="shared" si="1"/>
        <v>263789390.45000002</v>
      </c>
      <c r="H25" s="46">
        <v>45444</v>
      </c>
      <c r="I25" s="32">
        <v>0</v>
      </c>
      <c r="J25" s="32">
        <v>0</v>
      </c>
      <c r="K25" s="32">
        <v>0</v>
      </c>
      <c r="L25" s="80">
        <f t="shared" si="2"/>
        <v>0</v>
      </c>
    </row>
    <row r="26" spans="1:12" x14ac:dyDescent="0.2">
      <c r="H26" s="47"/>
      <c r="I26" s="44"/>
      <c r="J26" s="44"/>
      <c r="K26" s="44"/>
      <c r="L26" s="96"/>
    </row>
  </sheetData>
  <mergeCells count="5">
    <mergeCell ref="A3:J3"/>
    <mergeCell ref="D4:H4"/>
    <mergeCell ref="I4:J4"/>
    <mergeCell ref="A12:E12"/>
    <mergeCell ref="H12:L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0192-AE32-41F6-8DDE-42C27BB7EC29}">
  <dimension ref="A1:K32"/>
  <sheetViews>
    <sheetView workbookViewId="0">
      <selection activeCell="H32" sqref="H32"/>
    </sheetView>
  </sheetViews>
  <sheetFormatPr baseColWidth="10" defaultColWidth="8.83203125" defaultRowHeight="15" x14ac:dyDescent="0.2"/>
  <cols>
    <col min="1" max="1" width="11" customWidth="1"/>
    <col min="2" max="2" width="14.1640625" bestFit="1" customWidth="1"/>
    <col min="3" max="3" width="12.5" bestFit="1" customWidth="1"/>
    <col min="4" max="6" width="11.5" bestFit="1" customWidth="1"/>
    <col min="7" max="9" width="14.1640625" bestFit="1" customWidth="1"/>
  </cols>
  <sheetData>
    <row r="1" spans="1:11" ht="15.75" customHeight="1" thickBot="1" x14ac:dyDescent="0.25">
      <c r="A1" s="178" t="s">
        <v>29</v>
      </c>
      <c r="B1" s="179"/>
      <c r="C1" s="179"/>
      <c r="D1" s="179"/>
      <c r="E1" s="179"/>
      <c r="F1" s="179"/>
      <c r="G1" s="179"/>
      <c r="H1" s="179"/>
      <c r="I1" s="180"/>
    </row>
    <row r="2" spans="1:11" ht="64" x14ac:dyDescent="0.2">
      <c r="A2" s="14" t="s">
        <v>30</v>
      </c>
      <c r="B2" s="15" t="s">
        <v>31</v>
      </c>
      <c r="C2" s="15" t="s">
        <v>2</v>
      </c>
      <c r="D2" s="15" t="s">
        <v>32</v>
      </c>
      <c r="E2" s="15" t="s">
        <v>3</v>
      </c>
      <c r="F2" s="15" t="s">
        <v>4</v>
      </c>
      <c r="G2" s="16" t="s">
        <v>33</v>
      </c>
      <c r="H2" s="16" t="s">
        <v>34</v>
      </c>
      <c r="I2" s="17" t="s">
        <v>10</v>
      </c>
    </row>
    <row r="3" spans="1:11" x14ac:dyDescent="0.2">
      <c r="A3" s="18">
        <v>45108</v>
      </c>
      <c r="B3" s="19">
        <v>112459677.14</v>
      </c>
      <c r="C3" s="19">
        <v>64062906.539999999</v>
      </c>
      <c r="D3" s="19">
        <v>2787200</v>
      </c>
      <c r="E3" s="19">
        <v>3769342.45</v>
      </c>
      <c r="F3" s="20">
        <v>1441000</v>
      </c>
      <c r="G3" s="21">
        <f t="shared" ref="G3:G14" si="0">SUM(B3:F3)</f>
        <v>184520126.13</v>
      </c>
      <c r="H3" s="22">
        <v>194904857.50464439</v>
      </c>
      <c r="I3" s="23">
        <f>(G3-H3)/H3</f>
        <v>-5.328102904976055E-2</v>
      </c>
    </row>
    <row r="4" spans="1:11" x14ac:dyDescent="0.2">
      <c r="A4" s="18">
        <v>45139</v>
      </c>
      <c r="B4" s="20">
        <v>127441572.39</v>
      </c>
      <c r="C4" s="20">
        <v>73547936.150000006</v>
      </c>
      <c r="D4" s="20">
        <v>3667050</v>
      </c>
      <c r="E4" s="20">
        <v>4553187.2</v>
      </c>
      <c r="F4" s="20">
        <v>1455000</v>
      </c>
      <c r="G4" s="21">
        <f t="shared" si="0"/>
        <v>210664745.74000001</v>
      </c>
      <c r="H4" s="22">
        <v>199512805.48775101</v>
      </c>
      <c r="I4" s="23">
        <f>(G4-H4)/H4</f>
        <v>5.5895862047479809E-2</v>
      </c>
    </row>
    <row r="5" spans="1:11" x14ac:dyDescent="0.2">
      <c r="A5" s="18">
        <v>45170</v>
      </c>
      <c r="B5" s="20">
        <v>125127923.2</v>
      </c>
      <c r="C5" s="20">
        <v>78055370.209999993</v>
      </c>
      <c r="D5" s="20">
        <v>3448650</v>
      </c>
      <c r="E5" s="20">
        <v>3472822.07</v>
      </c>
      <c r="F5" s="20">
        <v>1465000</v>
      </c>
      <c r="G5" s="21">
        <f t="shared" si="0"/>
        <v>211569765.47999999</v>
      </c>
      <c r="H5" s="22">
        <v>207196405.50096336</v>
      </c>
      <c r="I5" s="23">
        <f t="shared" ref="I5:I14" si="1">(G5-H5)/H5</f>
        <v>2.1107315874822428E-2</v>
      </c>
    </row>
    <row r="6" spans="1:11" x14ac:dyDescent="0.2">
      <c r="A6" s="18">
        <v>45200</v>
      </c>
      <c r="B6" s="20">
        <v>120788628.77</v>
      </c>
      <c r="C6" s="20">
        <v>78675455.359999999</v>
      </c>
      <c r="D6" s="20">
        <v>3181900</v>
      </c>
      <c r="E6" s="20">
        <v>7113803.9199999999</v>
      </c>
      <c r="F6" s="20">
        <v>1466000</v>
      </c>
      <c r="G6" s="21">
        <f t="shared" si="0"/>
        <v>211225788.04999998</v>
      </c>
      <c r="H6" s="22">
        <v>203085225.15978634</v>
      </c>
      <c r="I6" s="23">
        <f t="shared" si="1"/>
        <v>4.0084466429346044E-2</v>
      </c>
    </row>
    <row r="7" spans="1:11" x14ac:dyDescent="0.2">
      <c r="A7" s="18">
        <v>45231</v>
      </c>
      <c r="B7" s="20">
        <v>109822684.45</v>
      </c>
      <c r="C7" s="20">
        <v>72196508.090000004</v>
      </c>
      <c r="D7" s="20">
        <v>3265900</v>
      </c>
      <c r="E7" s="20">
        <v>6989614.9900000002</v>
      </c>
      <c r="F7" s="20">
        <v>1469000</v>
      </c>
      <c r="G7" s="21">
        <f t="shared" si="0"/>
        <v>193743707.53000003</v>
      </c>
      <c r="H7" s="22">
        <v>189768502.93106106</v>
      </c>
      <c r="I7" s="23">
        <f t="shared" si="1"/>
        <v>2.0947652205398282E-2</v>
      </c>
      <c r="K7" s="24"/>
    </row>
    <row r="8" spans="1:11" x14ac:dyDescent="0.2">
      <c r="A8" s="18">
        <v>45261</v>
      </c>
      <c r="B8" s="20">
        <v>100058834.23999999</v>
      </c>
      <c r="C8" s="20">
        <v>68831696.099999994</v>
      </c>
      <c r="D8" s="20">
        <v>3005100</v>
      </c>
      <c r="E8" s="20">
        <v>6458314.1500000004</v>
      </c>
      <c r="F8" s="20">
        <v>1473000</v>
      </c>
      <c r="G8" s="21">
        <f t="shared" si="0"/>
        <v>179826944.48999998</v>
      </c>
      <c r="H8" s="22">
        <v>188334065.40147296</v>
      </c>
      <c r="I8" s="23">
        <f t="shared" si="1"/>
        <v>-4.5170377931035954E-2</v>
      </c>
    </row>
    <row r="9" spans="1:11" x14ac:dyDescent="0.2">
      <c r="A9" s="18">
        <v>45292</v>
      </c>
      <c r="B9" s="20">
        <v>106713012.29000001</v>
      </c>
      <c r="C9" s="20">
        <v>74009136.459999993</v>
      </c>
      <c r="D9" s="20">
        <v>3318900</v>
      </c>
      <c r="E9" s="20">
        <v>13648571.32</v>
      </c>
      <c r="F9" s="20">
        <v>1471000</v>
      </c>
      <c r="G9" s="21">
        <f t="shared" si="0"/>
        <v>199160620.06999999</v>
      </c>
      <c r="H9" s="22">
        <v>191127704.35381213</v>
      </c>
      <c r="I9" s="23">
        <f t="shared" si="1"/>
        <v>4.2029049338224024E-2</v>
      </c>
    </row>
    <row r="10" spans="1:11" x14ac:dyDescent="0.2">
      <c r="A10" s="18">
        <v>45323</v>
      </c>
      <c r="B10" s="20">
        <v>105625989.16</v>
      </c>
      <c r="C10" s="20">
        <v>69560797.310000002</v>
      </c>
      <c r="D10" s="20">
        <v>3801600</v>
      </c>
      <c r="E10" s="20">
        <v>10057641.369999999</v>
      </c>
      <c r="F10" s="20">
        <v>1473000</v>
      </c>
      <c r="G10" s="21">
        <f t="shared" si="0"/>
        <v>190519027.84</v>
      </c>
      <c r="H10" s="22">
        <v>202801006.27661231</v>
      </c>
      <c r="I10" s="23">
        <f t="shared" si="1"/>
        <v>-6.0561723346974863E-2</v>
      </c>
    </row>
    <row r="11" spans="1:11" x14ac:dyDescent="0.2">
      <c r="A11" s="18">
        <v>45352</v>
      </c>
      <c r="B11" s="25">
        <v>109232371.45</v>
      </c>
      <c r="C11" s="25">
        <v>71544036.930000007</v>
      </c>
      <c r="D11" s="25">
        <v>3199750</v>
      </c>
      <c r="E11" s="20">
        <v>5759827.3200000003</v>
      </c>
      <c r="F11" s="20">
        <v>1517000</v>
      </c>
      <c r="G11" s="21">
        <f t="shared" si="0"/>
        <v>191252985.69999999</v>
      </c>
      <c r="H11" s="22">
        <v>212929335.57556888</v>
      </c>
      <c r="I11" s="23">
        <f t="shared" si="1"/>
        <v>-0.10180067399813932</v>
      </c>
    </row>
    <row r="12" spans="1:11" x14ac:dyDescent="0.2">
      <c r="A12" s="18">
        <v>45383</v>
      </c>
      <c r="B12" s="20">
        <v>109220940.98</v>
      </c>
      <c r="C12" s="20">
        <v>72706714.739999995</v>
      </c>
      <c r="D12" s="20">
        <v>2464500</v>
      </c>
      <c r="E12" s="20">
        <v>-342035</v>
      </c>
      <c r="F12" s="20">
        <v>1519000</v>
      </c>
      <c r="G12" s="21">
        <f t="shared" si="0"/>
        <v>185569120.72</v>
      </c>
      <c r="H12" s="22">
        <v>207838441.74340832</v>
      </c>
      <c r="I12" s="23">
        <f t="shared" si="1"/>
        <v>-0.10714726706285366</v>
      </c>
    </row>
    <row r="13" spans="1:11" x14ac:dyDescent="0.2">
      <c r="A13" s="18">
        <v>45413</v>
      </c>
      <c r="B13" s="26">
        <v>115524377</v>
      </c>
      <c r="C13" s="26">
        <v>76235641</v>
      </c>
      <c r="D13" s="26">
        <v>3077400</v>
      </c>
      <c r="E13" s="26">
        <v>2332733</v>
      </c>
      <c r="F13" s="20">
        <v>1522000</v>
      </c>
      <c r="G13" s="21">
        <f t="shared" si="0"/>
        <v>198692151</v>
      </c>
      <c r="H13" s="22">
        <v>218938813.03936896</v>
      </c>
      <c r="I13" s="23">
        <f t="shared" si="1"/>
        <v>-9.2476348794894858E-2</v>
      </c>
    </row>
    <row r="14" spans="1:11" x14ac:dyDescent="0.2">
      <c r="A14" s="18">
        <v>45444</v>
      </c>
      <c r="B14" s="27">
        <v>112649163.41</v>
      </c>
      <c r="C14" s="27">
        <v>72319055.789000005</v>
      </c>
      <c r="D14" s="27">
        <v>3214055</v>
      </c>
      <c r="E14" s="27">
        <v>6148108.9790000003</v>
      </c>
      <c r="F14" s="20">
        <v>1474900</v>
      </c>
      <c r="G14" s="21">
        <f t="shared" si="0"/>
        <v>195805283.178</v>
      </c>
      <c r="H14" s="22">
        <v>210976255.13878241</v>
      </c>
      <c r="I14" s="23">
        <f t="shared" si="1"/>
        <v>-7.1908433253793341E-2</v>
      </c>
    </row>
    <row r="15" spans="1:11" ht="16" thickBot="1" x14ac:dyDescent="0.25">
      <c r="A15" s="28" t="s">
        <v>35</v>
      </c>
      <c r="B15" s="29">
        <f>SUM(B3:B14)</f>
        <v>1354665174.48</v>
      </c>
      <c r="C15" s="29">
        <f>SUM(C3:C14)</f>
        <v>871745254.67900014</v>
      </c>
      <c r="D15" s="29">
        <f>SUM(D3:D14)</f>
        <v>38432005</v>
      </c>
      <c r="E15" s="29">
        <f>SUM(E3:E14)</f>
        <v>69961931.768999994</v>
      </c>
      <c r="F15" s="29">
        <f>SUM(F3:F14)</f>
        <v>17745900</v>
      </c>
      <c r="G15" s="21">
        <f>SUM(B15:F15)</f>
        <v>2352550265.9280005</v>
      </c>
      <c r="H15" s="29">
        <v>2427413418.1132326</v>
      </c>
      <c r="I15" s="30"/>
    </row>
    <row r="17" spans="1:10" ht="16" thickBot="1" x14ac:dyDescent="0.25"/>
    <row r="18" spans="1:10" ht="16" thickBot="1" x14ac:dyDescent="0.25">
      <c r="A18" s="181" t="s">
        <v>62</v>
      </c>
      <c r="B18" s="182"/>
      <c r="C18" s="182"/>
      <c r="D18" s="182"/>
      <c r="E18" s="182"/>
      <c r="F18" s="182"/>
      <c r="G18" s="182"/>
      <c r="H18" s="182"/>
      <c r="I18" s="182"/>
      <c r="J18" s="183"/>
    </row>
    <row r="19" spans="1:10" ht="49" thickBot="1" x14ac:dyDescent="0.25">
      <c r="A19" s="51" t="s">
        <v>30</v>
      </c>
      <c r="B19" s="52" t="s">
        <v>31</v>
      </c>
      <c r="C19" s="52" t="s">
        <v>2</v>
      </c>
      <c r="D19" s="52" t="s">
        <v>32</v>
      </c>
      <c r="E19" s="52" t="s">
        <v>63</v>
      </c>
      <c r="F19" s="52" t="s">
        <v>3</v>
      </c>
      <c r="G19" s="52" t="s">
        <v>4</v>
      </c>
      <c r="H19" s="53" t="s">
        <v>64</v>
      </c>
      <c r="I19" s="53" t="s">
        <v>65</v>
      </c>
      <c r="J19" s="54" t="s">
        <v>10</v>
      </c>
    </row>
    <row r="20" spans="1:10" x14ac:dyDescent="0.2">
      <c r="A20" s="55">
        <v>44743</v>
      </c>
      <c r="B20" s="56">
        <v>107554331.63</v>
      </c>
      <c r="C20" s="56">
        <v>61446975.950000003</v>
      </c>
      <c r="D20" s="56">
        <v>7430932.1600000001</v>
      </c>
      <c r="E20" s="56">
        <v>2099574.3052693945</v>
      </c>
      <c r="F20" s="56">
        <v>6753958.75</v>
      </c>
      <c r="G20" s="56">
        <v>1176000</v>
      </c>
      <c r="H20" s="57">
        <v>186461772.79526937</v>
      </c>
      <c r="I20" s="58">
        <v>113833096.88617429</v>
      </c>
      <c r="J20" s="59">
        <f t="shared" ref="J20:J31" si="2">(H20-I20)/I20</f>
        <v>0.63802776078137491</v>
      </c>
    </row>
    <row r="21" spans="1:10" x14ac:dyDescent="0.2">
      <c r="A21" s="18">
        <v>44774</v>
      </c>
      <c r="B21" s="20">
        <v>108073006.81999999</v>
      </c>
      <c r="C21" s="20">
        <v>67587973.549999997</v>
      </c>
      <c r="D21" s="20">
        <v>-3476373.16</v>
      </c>
      <c r="E21" s="20">
        <v>2287484.9936011806</v>
      </c>
      <c r="F21" s="20">
        <v>4030050.79</v>
      </c>
      <c r="G21" s="56">
        <v>1179000</v>
      </c>
      <c r="H21" s="57">
        <v>179681142.99360117</v>
      </c>
      <c r="I21" s="58">
        <v>117250067.86672433</v>
      </c>
      <c r="J21" s="59">
        <f t="shared" si="2"/>
        <v>0.5324608869125852</v>
      </c>
    </row>
    <row r="22" spans="1:10" x14ac:dyDescent="0.2">
      <c r="A22" s="18">
        <v>44805</v>
      </c>
      <c r="B22" s="20">
        <v>111983498.39</v>
      </c>
      <c r="C22" s="20">
        <v>65768745.07</v>
      </c>
      <c r="D22" s="20">
        <v>2795650</v>
      </c>
      <c r="E22" s="20">
        <v>2387067.5052850018</v>
      </c>
      <c r="F22" s="20">
        <v>8235088.4699999997</v>
      </c>
      <c r="G22" s="20">
        <v>1173000</v>
      </c>
      <c r="H22" s="57">
        <v>192343049.435285</v>
      </c>
      <c r="I22" s="58">
        <v>117892385.10609122</v>
      </c>
      <c r="J22" s="59">
        <f t="shared" si="2"/>
        <v>0.63151376793501734</v>
      </c>
    </row>
    <row r="23" spans="1:10" x14ac:dyDescent="0.2">
      <c r="A23" s="18">
        <v>44835</v>
      </c>
      <c r="B23" s="20">
        <v>106523065.98</v>
      </c>
      <c r="C23" s="20">
        <v>63836308.549999997</v>
      </c>
      <c r="D23" s="20">
        <v>2709191</v>
      </c>
      <c r="E23" s="20">
        <v>2489956.7554726144</v>
      </c>
      <c r="F23" s="20">
        <v>11794066.33</v>
      </c>
      <c r="G23" s="20">
        <v>1174000</v>
      </c>
      <c r="H23" s="57">
        <v>188526588.61547261</v>
      </c>
      <c r="I23" s="58">
        <v>117869452.18728244</v>
      </c>
      <c r="J23" s="59">
        <f t="shared" si="2"/>
        <v>0.59945248846938937</v>
      </c>
    </row>
    <row r="24" spans="1:10" x14ac:dyDescent="0.2">
      <c r="A24" s="18">
        <v>44866</v>
      </c>
      <c r="B24" s="20">
        <v>101014685.15000001</v>
      </c>
      <c r="C24" s="20">
        <v>59722526.93</v>
      </c>
      <c r="D24" s="20">
        <v>2144500</v>
      </c>
      <c r="E24" s="20">
        <v>2683877.9914589776</v>
      </c>
      <c r="F24" s="20">
        <v>9425916.5099999998</v>
      </c>
      <c r="G24" s="20">
        <v>1173000</v>
      </c>
      <c r="H24" s="57">
        <v>176164506.58145899</v>
      </c>
      <c r="I24" s="58">
        <v>138172124.30813238</v>
      </c>
      <c r="J24" s="59">
        <f t="shared" si="2"/>
        <v>0.27496416128481344</v>
      </c>
    </row>
    <row r="25" spans="1:10" x14ac:dyDescent="0.2">
      <c r="A25" s="18">
        <v>44896</v>
      </c>
      <c r="B25" s="20">
        <v>101462749.56999999</v>
      </c>
      <c r="C25" s="20">
        <v>60711681.859999999</v>
      </c>
      <c r="D25" s="20">
        <v>2010600</v>
      </c>
      <c r="E25" s="20">
        <v>2910202.281286106</v>
      </c>
      <c r="F25" s="20">
        <v>6471666.3300000001</v>
      </c>
      <c r="G25" s="20">
        <v>1266000</v>
      </c>
      <c r="H25" s="57">
        <v>174832900.04128614</v>
      </c>
      <c r="I25" s="58">
        <v>129681656.96892849</v>
      </c>
      <c r="J25" s="59">
        <f t="shared" si="2"/>
        <v>0.34816985013675311</v>
      </c>
    </row>
    <row r="26" spans="1:10" x14ac:dyDescent="0.2">
      <c r="A26" s="18">
        <v>44927</v>
      </c>
      <c r="B26" s="20">
        <v>104616251.44</v>
      </c>
      <c r="C26" s="20">
        <v>63608107.659999996</v>
      </c>
      <c r="D26" s="20">
        <v>2335050</v>
      </c>
      <c r="E26" s="20">
        <v>3152643.7100394689</v>
      </c>
      <c r="F26" s="20">
        <v>2427217.6800000002</v>
      </c>
      <c r="G26" s="20">
        <v>1287000</v>
      </c>
      <c r="H26" s="57">
        <v>177426270.49003947</v>
      </c>
      <c r="I26" s="58">
        <v>138269708.22656763</v>
      </c>
      <c r="J26" s="59">
        <f t="shared" si="2"/>
        <v>0.28318973667978103</v>
      </c>
    </row>
    <row r="27" spans="1:10" x14ac:dyDescent="0.2">
      <c r="A27" s="18">
        <v>44958</v>
      </c>
      <c r="B27" s="20">
        <v>115382094.98999999</v>
      </c>
      <c r="C27" s="20">
        <v>65798574.82</v>
      </c>
      <c r="D27" s="20">
        <v>1882500</v>
      </c>
      <c r="E27" s="20">
        <v>3527294.8837556508</v>
      </c>
      <c r="F27" s="20">
        <v>342279.93</v>
      </c>
      <c r="G27" s="20">
        <v>1330000</v>
      </c>
      <c r="H27" s="57">
        <v>188262744.62375566</v>
      </c>
      <c r="I27" s="58">
        <v>139084456.88153809</v>
      </c>
      <c r="J27" s="59">
        <f t="shared" si="2"/>
        <v>0.35358579128726092</v>
      </c>
    </row>
    <row r="28" spans="1:10" x14ac:dyDescent="0.2">
      <c r="A28" s="18">
        <v>44986</v>
      </c>
      <c r="B28" s="20">
        <v>119397460.94</v>
      </c>
      <c r="C28" s="20">
        <v>69878614.370000005</v>
      </c>
      <c r="D28" s="20">
        <v>1803800</v>
      </c>
      <c r="E28" s="20">
        <v>4031463.2682723491</v>
      </c>
      <c r="F28" s="20">
        <v>1204662.51</v>
      </c>
      <c r="G28" s="20">
        <v>1349000</v>
      </c>
      <c r="H28" s="57">
        <v>197667001.08827233</v>
      </c>
      <c r="I28" s="58">
        <v>143430368.23757213</v>
      </c>
      <c r="J28" s="59">
        <f t="shared" si="2"/>
        <v>0.37813911737899802</v>
      </c>
    </row>
    <row r="29" spans="1:10" x14ac:dyDescent="0.2">
      <c r="A29" s="18">
        <v>45017</v>
      </c>
      <c r="B29" s="20">
        <v>113738547.65000001</v>
      </c>
      <c r="C29" s="20">
        <v>62190881.57</v>
      </c>
      <c r="D29" s="20">
        <v>1451800</v>
      </c>
      <c r="E29" s="20">
        <v>4480381.5469383979</v>
      </c>
      <c r="F29" s="20">
        <v>9696449.0500000007</v>
      </c>
      <c r="G29" s="20">
        <v>1381000</v>
      </c>
      <c r="H29" s="57">
        <f t="shared" ref="H29" si="3">(B29+C29+D29+E29+F29+G29)</f>
        <v>192939059.8169384</v>
      </c>
      <c r="I29" s="58">
        <v>144405218.89934269</v>
      </c>
      <c r="J29" s="59">
        <f t="shared" si="2"/>
        <v>0.33609478443730012</v>
      </c>
    </row>
    <row r="30" spans="1:10" x14ac:dyDescent="0.2">
      <c r="A30" s="18">
        <v>45047</v>
      </c>
      <c r="B30" s="20">
        <v>120174937.68000001</v>
      </c>
      <c r="C30" s="20">
        <v>73150059.480000004</v>
      </c>
      <c r="D30" s="20">
        <v>1731050</v>
      </c>
      <c r="E30" s="20">
        <v>4539110.037879454</v>
      </c>
      <c r="F30" s="20">
        <v>2250517.9900000002</v>
      </c>
      <c r="G30" s="20">
        <v>1398000</v>
      </c>
      <c r="H30" s="57">
        <f>(B30+C30+D30+E30+F30+G30)</f>
        <v>203243675.1878795</v>
      </c>
      <c r="I30" s="58">
        <v>148897252.14060917</v>
      </c>
      <c r="J30" s="59">
        <f t="shared" si="2"/>
        <v>0.36499278707943511</v>
      </c>
    </row>
    <row r="31" spans="1:10" ht="16" thickBot="1" x14ac:dyDescent="0.25">
      <c r="A31" s="18">
        <v>45078</v>
      </c>
      <c r="B31" s="20">
        <v>117533152.44</v>
      </c>
      <c r="C31" s="20">
        <v>69072711.700000003</v>
      </c>
      <c r="D31" s="20">
        <v>1494450</v>
      </c>
      <c r="E31" s="20">
        <v>4620018.0935626812</v>
      </c>
      <c r="F31" s="20">
        <v>3131599.53</v>
      </c>
      <c r="G31" s="20">
        <v>1430000</v>
      </c>
      <c r="H31" s="60">
        <f t="shared" ref="H31:H32" si="4">(B31+C31+D31+E31+F31+G31)</f>
        <v>197281931.76356268</v>
      </c>
      <c r="I31" s="61">
        <v>201214212.29103699</v>
      </c>
      <c r="J31" s="59">
        <f t="shared" si="2"/>
        <v>-1.9542757356456754E-2</v>
      </c>
    </row>
    <row r="32" spans="1:10" ht="16" thickBot="1" x14ac:dyDescent="0.25">
      <c r="A32" s="62" t="s">
        <v>35</v>
      </c>
      <c r="B32" s="63">
        <f t="shared" ref="B32:E32" si="5">SUM(B20:B31)</f>
        <v>1327453782.6800003</v>
      </c>
      <c r="C32" s="63">
        <f t="shared" si="5"/>
        <v>782773161.51000011</v>
      </c>
      <c r="D32" s="63">
        <f t="shared" si="5"/>
        <v>24313150</v>
      </c>
      <c r="E32" s="63">
        <f t="shared" si="5"/>
        <v>39209075.372821271</v>
      </c>
      <c r="F32" s="63">
        <f>SUM(F20:F31)</f>
        <v>65763473.869999997</v>
      </c>
      <c r="G32" s="64">
        <f>SUM(G20:G31)</f>
        <v>15316000</v>
      </c>
      <c r="H32" s="65">
        <f t="shared" si="4"/>
        <v>2254828643.4328218</v>
      </c>
      <c r="I32" s="66">
        <v>1650000000.0000002</v>
      </c>
      <c r="J32" s="30"/>
    </row>
  </sheetData>
  <mergeCells count="2">
    <mergeCell ref="A1:I1"/>
    <mergeCell ref="A18:J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3ECC-8A31-4F43-83C0-B2B163423F07}">
  <dimension ref="A1:O36"/>
  <sheetViews>
    <sheetView topLeftCell="A7" workbookViewId="0">
      <selection activeCell="O36" sqref="O36"/>
    </sheetView>
  </sheetViews>
  <sheetFormatPr baseColWidth="10" defaultColWidth="8.83203125" defaultRowHeight="15" x14ac:dyDescent="0.2"/>
  <cols>
    <col min="2" max="3" width="12.5" bestFit="1" customWidth="1"/>
    <col min="4" max="5" width="11.5" bestFit="1" customWidth="1"/>
    <col min="6" max="7" width="12.5" bestFit="1" customWidth="1"/>
    <col min="10" max="11" width="11.5" bestFit="1" customWidth="1"/>
    <col min="12" max="15" width="12.5" bestFit="1" customWidth="1"/>
  </cols>
  <sheetData>
    <row r="1" spans="1:13" ht="19" x14ac:dyDescent="0.2">
      <c r="A1" s="184" t="s">
        <v>40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6"/>
    </row>
    <row r="2" spans="1:13" ht="32" x14ac:dyDescent="0.2">
      <c r="A2" s="36" t="s">
        <v>41</v>
      </c>
      <c r="B2" s="177" t="s">
        <v>42</v>
      </c>
      <c r="C2" s="177"/>
      <c r="D2" s="177" t="s">
        <v>43</v>
      </c>
      <c r="E2" s="177"/>
      <c r="F2" s="177" t="s">
        <v>44</v>
      </c>
      <c r="G2" s="177"/>
      <c r="H2" s="177" t="s">
        <v>45</v>
      </c>
      <c r="I2" s="177"/>
      <c r="J2" s="177" t="s">
        <v>46</v>
      </c>
      <c r="K2" s="177"/>
      <c r="L2" s="187" t="s">
        <v>35</v>
      </c>
      <c r="M2" s="188"/>
    </row>
    <row r="3" spans="1:13" x14ac:dyDescent="0.2">
      <c r="A3" s="37" t="s">
        <v>30</v>
      </c>
      <c r="B3" s="38" t="s">
        <v>47</v>
      </c>
      <c r="C3" s="38" t="s">
        <v>48</v>
      </c>
      <c r="D3" s="38" t="s">
        <v>47</v>
      </c>
      <c r="E3" s="38" t="s">
        <v>48</v>
      </c>
      <c r="F3" s="38" t="s">
        <v>47</v>
      </c>
      <c r="G3" s="38" t="s">
        <v>48</v>
      </c>
      <c r="H3" s="38" t="s">
        <v>47</v>
      </c>
      <c r="I3" s="38" t="s">
        <v>48</v>
      </c>
      <c r="J3" s="38" t="s">
        <v>47</v>
      </c>
      <c r="K3" s="38" t="s">
        <v>48</v>
      </c>
      <c r="L3" s="38" t="s">
        <v>49</v>
      </c>
      <c r="M3" s="39" t="s">
        <v>50</v>
      </c>
    </row>
    <row r="4" spans="1:13" x14ac:dyDescent="0.2">
      <c r="A4" s="31">
        <v>45108</v>
      </c>
      <c r="B4" s="32">
        <v>13478975.759999998</v>
      </c>
      <c r="C4" s="32">
        <v>12597514.289999999</v>
      </c>
      <c r="D4" s="32">
        <v>7364488.9800000004</v>
      </c>
      <c r="E4" s="32">
        <v>6577068.9800000004</v>
      </c>
      <c r="F4" s="32">
        <v>27453396.84</v>
      </c>
      <c r="G4" s="32">
        <v>30104203.469999999</v>
      </c>
      <c r="H4" s="32">
        <v>38337.31</v>
      </c>
      <c r="I4" s="32">
        <v>23556.94</v>
      </c>
      <c r="J4" s="32">
        <v>2239151.9400000004</v>
      </c>
      <c r="K4" s="32">
        <v>2528989.66</v>
      </c>
      <c r="L4" s="35">
        <f>B4+D4+F4+H4+J4</f>
        <v>50574350.829999998</v>
      </c>
      <c r="M4" s="40">
        <f>C4+E4+G4+I4+K4</f>
        <v>51831333.339999989</v>
      </c>
    </row>
    <row r="5" spans="1:13" x14ac:dyDescent="0.2">
      <c r="A5" s="31">
        <v>45139</v>
      </c>
      <c r="B5" s="32">
        <v>14267153.84</v>
      </c>
      <c r="C5" s="32">
        <v>13713857.65</v>
      </c>
      <c r="D5" s="32">
        <v>7853157.0999999996</v>
      </c>
      <c r="E5" s="32">
        <v>7096788.0599999996</v>
      </c>
      <c r="F5" s="32">
        <v>29242556.23</v>
      </c>
      <c r="G5" s="32">
        <v>30752615.759999998</v>
      </c>
      <c r="H5" s="32">
        <v>33055.35</v>
      </c>
      <c r="I5" s="32">
        <v>44173.21</v>
      </c>
      <c r="J5" s="32">
        <v>2513044.2999999998</v>
      </c>
      <c r="K5" s="32">
        <v>3024680.5700000003</v>
      </c>
      <c r="L5" s="35">
        <f t="shared" ref="L5:M16" si="0">B5+D5+F5+H5+J5</f>
        <v>53908966.82</v>
      </c>
      <c r="M5" s="40">
        <f t="shared" si="0"/>
        <v>54632115.25</v>
      </c>
    </row>
    <row r="6" spans="1:13" x14ac:dyDescent="0.2">
      <c r="A6" s="31">
        <v>45170</v>
      </c>
      <c r="B6" s="32">
        <v>13232785.640000001</v>
      </c>
      <c r="C6" s="32">
        <v>13795217.799999999</v>
      </c>
      <c r="D6" s="32">
        <v>7535343.2699999996</v>
      </c>
      <c r="E6" s="32">
        <v>7434758.5800000001</v>
      </c>
      <c r="F6" s="32">
        <v>28026766.450000003</v>
      </c>
      <c r="G6" s="32">
        <v>30728218.810000002</v>
      </c>
      <c r="H6" s="32">
        <v>27328.04</v>
      </c>
      <c r="I6" s="32">
        <v>41576.959999999999</v>
      </c>
      <c r="J6" s="32">
        <v>2169231.9500000002</v>
      </c>
      <c r="K6" s="32">
        <v>2948534.2</v>
      </c>
      <c r="L6" s="35">
        <f t="shared" si="0"/>
        <v>50991455.350000001</v>
      </c>
      <c r="M6" s="40">
        <f t="shared" si="0"/>
        <v>54948306.350000001</v>
      </c>
    </row>
    <row r="7" spans="1:13" x14ac:dyDescent="0.2">
      <c r="A7" s="31">
        <v>45200</v>
      </c>
      <c r="B7" s="32">
        <v>13480996.779999999</v>
      </c>
      <c r="C7" s="32">
        <v>14111494.84</v>
      </c>
      <c r="D7" s="32">
        <v>7442060.3700000001</v>
      </c>
      <c r="E7" s="32">
        <v>7183583.2699999996</v>
      </c>
      <c r="F7" s="32">
        <v>28024121.810000002</v>
      </c>
      <c r="G7" s="32">
        <v>30993784.399999999</v>
      </c>
      <c r="H7" s="32">
        <v>44091.839999999997</v>
      </c>
      <c r="I7" s="32">
        <v>48616.32</v>
      </c>
      <c r="J7" s="32">
        <v>2136465.4</v>
      </c>
      <c r="K7" s="32">
        <v>2812424.88</v>
      </c>
      <c r="L7" s="35">
        <f t="shared" si="0"/>
        <v>51127736.200000003</v>
      </c>
      <c r="M7" s="40">
        <f t="shared" si="0"/>
        <v>55149903.710000001</v>
      </c>
    </row>
    <row r="8" spans="1:13" x14ac:dyDescent="0.2">
      <c r="A8" s="31">
        <v>45231</v>
      </c>
      <c r="B8" s="32">
        <v>12957977.16</v>
      </c>
      <c r="C8" s="32">
        <v>13445168.310000001</v>
      </c>
      <c r="D8" s="32">
        <v>7301199.3000000007</v>
      </c>
      <c r="E8" s="32">
        <v>6553809.5599999996</v>
      </c>
      <c r="F8" s="32">
        <v>27939647.710000001</v>
      </c>
      <c r="G8" s="32">
        <v>29800027.969999999</v>
      </c>
      <c r="H8" s="32">
        <v>46683.09</v>
      </c>
      <c r="I8" s="32">
        <v>37258.75</v>
      </c>
      <c r="J8" s="32">
        <v>2283518.19</v>
      </c>
      <c r="K8" s="32">
        <v>2805666.44</v>
      </c>
      <c r="L8" s="35">
        <f t="shared" si="0"/>
        <v>50529025.450000003</v>
      </c>
      <c r="M8" s="40">
        <f t="shared" si="0"/>
        <v>52641931.030000001</v>
      </c>
    </row>
    <row r="9" spans="1:13" x14ac:dyDescent="0.2">
      <c r="A9" s="31">
        <v>45261</v>
      </c>
      <c r="B9" s="32">
        <v>12882934.25</v>
      </c>
      <c r="C9" s="32">
        <v>13658890.48</v>
      </c>
      <c r="D9" s="32">
        <v>7346335.1400000006</v>
      </c>
      <c r="E9" s="32">
        <v>6626770.9199999999</v>
      </c>
      <c r="F9" s="32">
        <v>28018168.82</v>
      </c>
      <c r="G9" s="32">
        <v>30797658.550000001</v>
      </c>
      <c r="H9" s="32">
        <v>45530.71</v>
      </c>
      <c r="I9" s="32">
        <v>50363.34</v>
      </c>
      <c r="J9" s="32">
        <v>2231110.79</v>
      </c>
      <c r="K9" s="32">
        <v>3381446.9099999997</v>
      </c>
      <c r="L9" s="35">
        <f t="shared" si="0"/>
        <v>50524079.710000001</v>
      </c>
      <c r="M9" s="40">
        <f t="shared" si="0"/>
        <v>54515130.200000003</v>
      </c>
    </row>
    <row r="10" spans="1:13" x14ac:dyDescent="0.2">
      <c r="A10" s="31">
        <v>45292</v>
      </c>
      <c r="B10" s="32">
        <v>13935085.989999998</v>
      </c>
      <c r="C10" s="32">
        <v>13798424.09</v>
      </c>
      <c r="D10" s="32">
        <v>7999105.1399999987</v>
      </c>
      <c r="E10" s="32">
        <v>7467308.7799999993</v>
      </c>
      <c r="F10" s="32">
        <v>30283156.989999998</v>
      </c>
      <c r="G10" s="32">
        <v>31620953.989999998</v>
      </c>
      <c r="H10" s="32">
        <v>46268.88</v>
      </c>
      <c r="I10" s="32">
        <v>41502.44</v>
      </c>
      <c r="J10" s="32">
        <v>2195753.06</v>
      </c>
      <c r="K10" s="32">
        <v>2784415.45</v>
      </c>
      <c r="L10" s="35">
        <f t="shared" si="0"/>
        <v>54459370.059999995</v>
      </c>
      <c r="M10" s="40">
        <f t="shared" si="0"/>
        <v>55712604.75</v>
      </c>
    </row>
    <row r="11" spans="1:13" x14ac:dyDescent="0.2">
      <c r="A11" s="31">
        <v>45323</v>
      </c>
      <c r="B11" s="32">
        <v>13416669.77</v>
      </c>
      <c r="C11" s="32">
        <v>12892556.140000001</v>
      </c>
      <c r="D11" s="32">
        <v>7477527.71</v>
      </c>
      <c r="E11" s="32">
        <v>6791987.6099999994</v>
      </c>
      <c r="F11" s="32">
        <v>28127618.890000001</v>
      </c>
      <c r="G11" s="32">
        <v>28423458.390000001</v>
      </c>
      <c r="H11" s="32">
        <v>34422.86</v>
      </c>
      <c r="I11" s="32">
        <v>37343.379999999997</v>
      </c>
      <c r="J11" s="32">
        <v>2316844.12</v>
      </c>
      <c r="K11" s="32">
        <v>2439112.06</v>
      </c>
      <c r="L11" s="35">
        <f t="shared" si="0"/>
        <v>51373083.350000001</v>
      </c>
      <c r="M11" s="40">
        <f t="shared" si="0"/>
        <v>50584457.580000006</v>
      </c>
    </row>
    <row r="12" spans="1:13" x14ac:dyDescent="0.2">
      <c r="A12" s="31">
        <v>45352</v>
      </c>
      <c r="B12" s="32">
        <v>13827203.809999999</v>
      </c>
      <c r="C12" s="32">
        <v>13192628.899999999</v>
      </c>
      <c r="D12" s="32">
        <v>7458926.4400000004</v>
      </c>
      <c r="E12" s="32">
        <v>6769526.2499999991</v>
      </c>
      <c r="F12" s="32">
        <v>28577428.789999999</v>
      </c>
      <c r="G12" s="32">
        <v>27546636.02</v>
      </c>
      <c r="H12" s="32">
        <v>34907.519999999997</v>
      </c>
      <c r="I12" s="32">
        <v>25299.21</v>
      </c>
      <c r="J12" s="32">
        <v>2223182.27</v>
      </c>
      <c r="K12" s="32">
        <v>2497003.1800000002</v>
      </c>
      <c r="L12" s="35">
        <f t="shared" si="0"/>
        <v>52121648.830000006</v>
      </c>
      <c r="M12" s="40">
        <f t="shared" si="0"/>
        <v>50031093.560000002</v>
      </c>
    </row>
    <row r="13" spans="1:13" x14ac:dyDescent="0.2">
      <c r="A13" s="31">
        <v>45383</v>
      </c>
      <c r="B13" s="32">
        <v>13600880.35</v>
      </c>
      <c r="C13" s="32">
        <v>12366048</v>
      </c>
      <c r="D13" s="32">
        <v>7643045.2300000004</v>
      </c>
      <c r="E13" s="32">
        <v>6317634.0499999998</v>
      </c>
      <c r="F13" s="32">
        <v>27743650.780000001</v>
      </c>
      <c r="G13" s="32">
        <v>25391413.510000002</v>
      </c>
      <c r="H13" s="32">
        <v>7908.33</v>
      </c>
      <c r="I13" s="32">
        <v>46503.78</v>
      </c>
      <c r="J13" s="32">
        <v>2196631.9900000002</v>
      </c>
      <c r="K13" s="32">
        <v>2344704.5</v>
      </c>
      <c r="L13" s="35">
        <f t="shared" si="0"/>
        <v>51192116.68</v>
      </c>
      <c r="M13" s="40">
        <f t="shared" si="0"/>
        <v>46466303.840000004</v>
      </c>
    </row>
    <row r="14" spans="1:13" x14ac:dyDescent="0.2">
      <c r="A14" s="31">
        <v>45413</v>
      </c>
      <c r="B14" s="32">
        <v>15086359.189999999</v>
      </c>
      <c r="C14" s="32">
        <v>13699530.9</v>
      </c>
      <c r="D14" s="32">
        <v>8451897.3099999987</v>
      </c>
      <c r="E14" s="32">
        <v>7017240.4000000004</v>
      </c>
      <c r="F14" s="32">
        <v>28726555.899999999</v>
      </c>
      <c r="G14" s="32">
        <v>28141343.260000002</v>
      </c>
      <c r="H14" s="32">
        <v>23627.74</v>
      </c>
      <c r="I14" s="32">
        <v>33725.14</v>
      </c>
      <c r="J14" s="32">
        <v>2745839.0999999996</v>
      </c>
      <c r="K14" s="32">
        <v>2384674.38</v>
      </c>
      <c r="L14" s="35">
        <f t="shared" si="0"/>
        <v>55034279.240000002</v>
      </c>
      <c r="M14" s="40">
        <f t="shared" si="0"/>
        <v>51276514.080000006</v>
      </c>
    </row>
    <row r="15" spans="1:13" x14ac:dyDescent="0.2">
      <c r="A15" s="31">
        <v>45444</v>
      </c>
      <c r="B15" s="32">
        <v>0</v>
      </c>
      <c r="C15" s="32">
        <v>0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5">
        <f t="shared" si="0"/>
        <v>0</v>
      </c>
      <c r="M15" s="40">
        <f t="shared" si="0"/>
        <v>0</v>
      </c>
    </row>
    <row r="16" spans="1:13" ht="16" thickBot="1" x14ac:dyDescent="0.25">
      <c r="A16" s="34" t="s">
        <v>38</v>
      </c>
      <c r="B16" s="41">
        <f t="shared" ref="B16:K16" si="1">SUM(B4:B15)</f>
        <v>150167022.53999999</v>
      </c>
      <c r="C16" s="41">
        <f t="shared" si="1"/>
        <v>147271331.40000001</v>
      </c>
      <c r="D16" s="41">
        <f t="shared" si="1"/>
        <v>83873085.99000001</v>
      </c>
      <c r="E16" s="41">
        <f t="shared" si="1"/>
        <v>75836476.460000008</v>
      </c>
      <c r="F16" s="41">
        <f t="shared" si="1"/>
        <v>312163069.20999998</v>
      </c>
      <c r="G16" s="41">
        <f t="shared" si="1"/>
        <v>324300314.13</v>
      </c>
      <c r="H16" s="41">
        <f t="shared" si="1"/>
        <v>382161.67</v>
      </c>
      <c r="I16" s="41">
        <f t="shared" si="1"/>
        <v>429919.47</v>
      </c>
      <c r="J16" s="41">
        <f t="shared" si="1"/>
        <v>25250773.109999999</v>
      </c>
      <c r="K16" s="41">
        <f t="shared" si="1"/>
        <v>29951652.229999993</v>
      </c>
      <c r="L16" s="35">
        <f t="shared" si="0"/>
        <v>571836112.51999998</v>
      </c>
      <c r="M16" s="40">
        <f t="shared" si="0"/>
        <v>577789693.69000006</v>
      </c>
    </row>
    <row r="20" spans="1:15" ht="16" thickBot="1" x14ac:dyDescent="0.25"/>
    <row r="21" spans="1:15" s="93" customFormat="1" ht="20.25" customHeight="1" x14ac:dyDescent="0.2">
      <c r="A21" s="184" t="s">
        <v>40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6"/>
    </row>
    <row r="22" spans="1:15" ht="32" x14ac:dyDescent="0.2">
      <c r="A22" s="36" t="s">
        <v>41</v>
      </c>
      <c r="B22" s="177" t="s">
        <v>42</v>
      </c>
      <c r="C22" s="177"/>
      <c r="D22" s="177" t="s">
        <v>43</v>
      </c>
      <c r="E22" s="177"/>
      <c r="F22" s="177" t="s">
        <v>44</v>
      </c>
      <c r="G22" s="177"/>
      <c r="H22" s="177" t="s">
        <v>45</v>
      </c>
      <c r="I22" s="177"/>
      <c r="J22" s="177" t="s">
        <v>46</v>
      </c>
      <c r="K22" s="177"/>
      <c r="L22" s="177" t="s">
        <v>85</v>
      </c>
      <c r="M22" s="177"/>
      <c r="N22" s="187" t="s">
        <v>35</v>
      </c>
      <c r="O22" s="188"/>
    </row>
    <row r="23" spans="1:15" x14ac:dyDescent="0.2">
      <c r="A23" s="37" t="s">
        <v>30</v>
      </c>
      <c r="B23" s="38" t="s">
        <v>47</v>
      </c>
      <c r="C23" s="38" t="s">
        <v>48</v>
      </c>
      <c r="D23" s="38" t="s">
        <v>47</v>
      </c>
      <c r="E23" s="38" t="s">
        <v>48</v>
      </c>
      <c r="F23" s="38" t="s">
        <v>47</v>
      </c>
      <c r="G23" s="38" t="s">
        <v>48</v>
      </c>
      <c r="H23" s="38" t="s">
        <v>47</v>
      </c>
      <c r="I23" s="38" t="s">
        <v>48</v>
      </c>
      <c r="J23" s="38" t="s">
        <v>47</v>
      </c>
      <c r="K23" s="38" t="s">
        <v>48</v>
      </c>
      <c r="L23" s="38" t="s">
        <v>47</v>
      </c>
      <c r="M23" s="38" t="s">
        <v>48</v>
      </c>
      <c r="N23" s="38" t="s">
        <v>49</v>
      </c>
      <c r="O23" s="39" t="s">
        <v>50</v>
      </c>
    </row>
    <row r="24" spans="1:15" x14ac:dyDescent="0.2">
      <c r="A24" s="31">
        <v>44743</v>
      </c>
      <c r="B24" s="32">
        <v>12597514.289999999</v>
      </c>
      <c r="C24" s="32">
        <v>13239681.4</v>
      </c>
      <c r="D24" s="32">
        <v>6577068.9800000004</v>
      </c>
      <c r="E24" s="32">
        <v>6132655.5099999998</v>
      </c>
      <c r="F24" s="32">
        <v>30104203.469999999</v>
      </c>
      <c r="G24" s="32">
        <v>36742274.420000002</v>
      </c>
      <c r="H24" s="32">
        <v>23556.94</v>
      </c>
      <c r="I24" s="32">
        <v>15895.88</v>
      </c>
      <c r="J24" s="32">
        <v>2528989.66</v>
      </c>
      <c r="K24" s="32">
        <v>8532151.790000001</v>
      </c>
      <c r="L24" s="32">
        <v>1928636.53</v>
      </c>
      <c r="M24" s="32">
        <v>3579483.16</v>
      </c>
      <c r="N24" s="94">
        <f>B24+D24+F24+H24+J24+L24</f>
        <v>53759969.86999999</v>
      </c>
      <c r="O24" s="95">
        <f>C24+E24+G24+I24+K24+M24</f>
        <v>68242142.159999996</v>
      </c>
    </row>
    <row r="25" spans="1:15" x14ac:dyDescent="0.2">
      <c r="A25" s="31">
        <v>44774</v>
      </c>
      <c r="B25" s="32">
        <v>13713857.65</v>
      </c>
      <c r="C25" s="32">
        <v>13188548.620000001</v>
      </c>
      <c r="D25" s="32">
        <v>7096788.0599999996</v>
      </c>
      <c r="E25" s="32">
        <v>5853819.1699999999</v>
      </c>
      <c r="F25" s="32">
        <v>30752615.759999998</v>
      </c>
      <c r="G25" s="32">
        <v>36425241.219999999</v>
      </c>
      <c r="H25" s="32">
        <v>44173.21</v>
      </c>
      <c r="I25" s="32">
        <v>16224.67</v>
      </c>
      <c r="J25" s="32">
        <v>3024680.5700000003</v>
      </c>
      <c r="K25" s="32">
        <v>9093384.040000001</v>
      </c>
      <c r="L25" s="32">
        <v>2002924.2000000002</v>
      </c>
      <c r="M25" s="32">
        <v>3345335.4000000004</v>
      </c>
      <c r="N25" s="94">
        <f t="shared" ref="N25:O36" si="2">B25+D25+F25+H25+J25+L25</f>
        <v>56635039.450000003</v>
      </c>
      <c r="O25" s="95">
        <f t="shared" si="2"/>
        <v>67922553.120000005</v>
      </c>
    </row>
    <row r="26" spans="1:15" x14ac:dyDescent="0.2">
      <c r="A26" s="31">
        <v>44805</v>
      </c>
      <c r="B26" s="32">
        <v>13795217.799999999</v>
      </c>
      <c r="C26" s="32">
        <v>13601606.48</v>
      </c>
      <c r="D26" s="32">
        <v>7434758.5800000001</v>
      </c>
      <c r="E26" s="32">
        <v>6114496.71</v>
      </c>
      <c r="F26" s="32">
        <v>30728218.810000002</v>
      </c>
      <c r="G26" s="32">
        <v>34741995.5</v>
      </c>
      <c r="H26" s="32">
        <v>41576.959999999999</v>
      </c>
      <c r="I26" s="32">
        <v>20644.93</v>
      </c>
      <c r="J26" s="32">
        <v>2948534.2</v>
      </c>
      <c r="K26" s="32">
        <v>9113243.3699999992</v>
      </c>
      <c r="L26" s="32">
        <v>2064476.8599999999</v>
      </c>
      <c r="M26" s="32">
        <v>3346590.9200000004</v>
      </c>
      <c r="N26" s="94">
        <f t="shared" si="2"/>
        <v>57012783.210000001</v>
      </c>
      <c r="O26" s="95">
        <f t="shared" si="2"/>
        <v>66938577.909999996</v>
      </c>
    </row>
    <row r="27" spans="1:15" x14ac:dyDescent="0.2">
      <c r="A27" s="31">
        <v>44835</v>
      </c>
      <c r="B27" s="32">
        <v>14111494.84</v>
      </c>
      <c r="C27" s="32">
        <v>13557542.660000002</v>
      </c>
      <c r="D27" s="32">
        <v>7183583.2699999996</v>
      </c>
      <c r="E27" s="32">
        <v>6103130.709999999</v>
      </c>
      <c r="F27" s="32">
        <v>30993784.399999999</v>
      </c>
      <c r="G27" s="32">
        <v>35802994.399999999</v>
      </c>
      <c r="H27" s="32">
        <v>48616.32</v>
      </c>
      <c r="I27" s="32">
        <v>17897.669999999998</v>
      </c>
      <c r="J27" s="32">
        <v>2812424.88</v>
      </c>
      <c r="K27" s="32">
        <v>8594035.2999999989</v>
      </c>
      <c r="L27" s="32">
        <v>2205892.0300000003</v>
      </c>
      <c r="M27" s="32">
        <v>3354425.95</v>
      </c>
      <c r="N27" s="94">
        <f t="shared" si="2"/>
        <v>57355795.740000002</v>
      </c>
      <c r="O27" s="95">
        <f t="shared" si="2"/>
        <v>67430026.689999998</v>
      </c>
    </row>
    <row r="28" spans="1:15" x14ac:dyDescent="0.2">
      <c r="A28" s="31">
        <v>44866</v>
      </c>
      <c r="B28" s="32">
        <v>13445168.310000001</v>
      </c>
      <c r="C28" s="32">
        <v>13706000.779999999</v>
      </c>
      <c r="D28" s="32">
        <v>6553809.5599999996</v>
      </c>
      <c r="E28" s="32">
        <v>5945269.5899999999</v>
      </c>
      <c r="F28" s="32">
        <v>29800027.969999999</v>
      </c>
      <c r="G28" s="32">
        <v>33949872.460000001</v>
      </c>
      <c r="H28" s="32">
        <v>37258.75</v>
      </c>
      <c r="I28" s="32">
        <v>16562.61</v>
      </c>
      <c r="J28" s="32">
        <v>2805666.44</v>
      </c>
      <c r="K28" s="32">
        <v>7030347.0899999999</v>
      </c>
      <c r="L28" s="32">
        <v>2162917.6</v>
      </c>
      <c r="M28" s="32">
        <v>3012228.45</v>
      </c>
      <c r="N28" s="94">
        <f t="shared" si="2"/>
        <v>54804848.630000003</v>
      </c>
      <c r="O28" s="95">
        <f t="shared" si="2"/>
        <v>63660280.980000004</v>
      </c>
    </row>
    <row r="29" spans="1:15" x14ac:dyDescent="0.2">
      <c r="A29" s="31">
        <v>44896</v>
      </c>
      <c r="B29" s="32">
        <v>13658890.48</v>
      </c>
      <c r="C29" s="32">
        <v>13884731.869999999</v>
      </c>
      <c r="D29" s="32">
        <v>6626770.9199999999</v>
      </c>
      <c r="E29" s="32">
        <v>5994835.0600000005</v>
      </c>
      <c r="F29" s="32">
        <v>30797658.550000001</v>
      </c>
      <c r="G29" s="32">
        <v>33121970.220000003</v>
      </c>
      <c r="H29" s="32">
        <v>50363.34</v>
      </c>
      <c r="I29" s="32">
        <v>13686.74</v>
      </c>
      <c r="J29" s="32">
        <v>3381446.9099999997</v>
      </c>
      <c r="K29" s="32">
        <v>7507644.5700000003</v>
      </c>
      <c r="L29" s="32">
        <v>2294143.14</v>
      </c>
      <c r="M29" s="32">
        <v>3201390.5700000003</v>
      </c>
      <c r="N29" s="94">
        <f t="shared" si="2"/>
        <v>56809273.340000004</v>
      </c>
      <c r="O29" s="95">
        <f t="shared" si="2"/>
        <v>63724259.030000009</v>
      </c>
    </row>
    <row r="30" spans="1:15" x14ac:dyDescent="0.2">
      <c r="A30" s="31">
        <v>44927</v>
      </c>
      <c r="B30" s="32">
        <v>13798424.09</v>
      </c>
      <c r="C30" s="32">
        <v>13540327.85</v>
      </c>
      <c r="D30" s="32">
        <v>7467308.7799999993</v>
      </c>
      <c r="E30" s="32">
        <v>5814946.4500000002</v>
      </c>
      <c r="F30" s="32">
        <v>31620953.989999998</v>
      </c>
      <c r="G30" s="32">
        <v>34208895.109999999</v>
      </c>
      <c r="H30" s="32">
        <v>41502.44</v>
      </c>
      <c r="I30" s="32">
        <v>15450.77</v>
      </c>
      <c r="J30" s="32">
        <v>2784415.45</v>
      </c>
      <c r="K30" s="32">
        <v>7377275.04</v>
      </c>
      <c r="L30" s="32">
        <v>2417042.7400000002</v>
      </c>
      <c r="M30" s="32">
        <v>3068285.0700000003</v>
      </c>
      <c r="N30" s="94">
        <f t="shared" si="2"/>
        <v>58129647.490000002</v>
      </c>
      <c r="O30" s="95">
        <f t="shared" si="2"/>
        <v>64025180.289999999</v>
      </c>
    </row>
    <row r="31" spans="1:15" x14ac:dyDescent="0.2">
      <c r="A31" s="31">
        <v>44958</v>
      </c>
      <c r="B31" s="32">
        <v>12892556.140000001</v>
      </c>
      <c r="C31" s="32">
        <v>13606739.699999999</v>
      </c>
      <c r="D31" s="32">
        <v>6791987.6099999994</v>
      </c>
      <c r="E31" s="32">
        <v>5867711.5</v>
      </c>
      <c r="F31" s="32">
        <v>28423458.390000001</v>
      </c>
      <c r="G31" s="32">
        <v>31607903.5</v>
      </c>
      <c r="H31" s="32">
        <v>37343.379999999997</v>
      </c>
      <c r="I31" s="32">
        <v>58066.93</v>
      </c>
      <c r="J31" s="32">
        <v>2439112.06</v>
      </c>
      <c r="K31" s="32">
        <v>4766322.24</v>
      </c>
      <c r="L31" s="32">
        <v>2031289.87</v>
      </c>
      <c r="M31" s="32">
        <v>2850216.8699999996</v>
      </c>
      <c r="N31" s="94">
        <f t="shared" si="2"/>
        <v>52615747.450000003</v>
      </c>
      <c r="O31" s="95">
        <f t="shared" si="2"/>
        <v>58756960.740000002</v>
      </c>
    </row>
    <row r="32" spans="1:15" x14ac:dyDescent="0.2">
      <c r="A32" s="31">
        <v>44986</v>
      </c>
      <c r="B32" s="32">
        <v>13192628.899999999</v>
      </c>
      <c r="C32" s="32">
        <v>14793208.759999998</v>
      </c>
      <c r="D32" s="32">
        <v>6769526.2499999991</v>
      </c>
      <c r="E32" s="32">
        <v>6502710.8799999999</v>
      </c>
      <c r="F32" s="32">
        <v>27546636.02</v>
      </c>
      <c r="G32" s="32">
        <v>33996841.520000003</v>
      </c>
      <c r="H32" s="32">
        <v>25299.21</v>
      </c>
      <c r="I32" s="32">
        <v>67139.350000000006</v>
      </c>
      <c r="J32" s="32">
        <v>2497003.1800000002</v>
      </c>
      <c r="K32" s="32">
        <v>4656720.24</v>
      </c>
      <c r="L32" s="32">
        <v>2163280.7799999998</v>
      </c>
      <c r="M32" s="32">
        <v>3084678.5100000002</v>
      </c>
      <c r="N32" s="94">
        <f t="shared" si="2"/>
        <v>52194374.340000004</v>
      </c>
      <c r="O32" s="95">
        <f t="shared" si="2"/>
        <v>63101299.259999998</v>
      </c>
    </row>
    <row r="33" spans="1:15" x14ac:dyDescent="0.2">
      <c r="A33" s="31">
        <v>45017</v>
      </c>
      <c r="B33" s="32">
        <v>12366048</v>
      </c>
      <c r="C33" s="32">
        <v>14371618.360000001</v>
      </c>
      <c r="D33" s="32">
        <v>6317634.0499999998</v>
      </c>
      <c r="E33" s="32">
        <v>6596467.4199999999</v>
      </c>
      <c r="F33" s="32">
        <v>25391413.510000002</v>
      </c>
      <c r="G33" s="32">
        <v>32698127.270000003</v>
      </c>
      <c r="H33" s="32">
        <v>46503.78</v>
      </c>
      <c r="I33" s="32">
        <v>45509.57</v>
      </c>
      <c r="J33" s="32">
        <v>2344704.5</v>
      </c>
      <c r="K33" s="32">
        <v>4151461.16</v>
      </c>
      <c r="L33" s="32">
        <v>1904587.55</v>
      </c>
      <c r="M33" s="32">
        <v>2977815.3</v>
      </c>
      <c r="N33" s="94">
        <f t="shared" si="2"/>
        <v>48370891.390000001</v>
      </c>
      <c r="O33" s="95">
        <f t="shared" si="2"/>
        <v>60840999.079999998</v>
      </c>
    </row>
    <row r="34" spans="1:15" x14ac:dyDescent="0.2">
      <c r="A34" s="31">
        <v>45047</v>
      </c>
      <c r="B34" s="32">
        <v>13699530.9</v>
      </c>
      <c r="C34" s="32">
        <v>14497960.289999999</v>
      </c>
      <c r="D34" s="32">
        <v>7017240.4000000004</v>
      </c>
      <c r="E34" s="32">
        <v>6731434.7399999993</v>
      </c>
      <c r="F34" s="32">
        <v>28141343.260000002</v>
      </c>
      <c r="G34" s="32">
        <v>32013720.899999999</v>
      </c>
      <c r="H34" s="32">
        <v>33725.14</v>
      </c>
      <c r="I34" s="32">
        <v>57245.3</v>
      </c>
      <c r="J34" s="32">
        <v>2384674.38</v>
      </c>
      <c r="K34" s="32">
        <v>3026285.45</v>
      </c>
      <c r="L34" s="32">
        <v>1905814.8399999999</v>
      </c>
      <c r="M34" s="32">
        <v>2783292.04</v>
      </c>
      <c r="N34" s="94">
        <f t="shared" si="2"/>
        <v>53182328.920000002</v>
      </c>
      <c r="O34" s="95">
        <f t="shared" si="2"/>
        <v>59109938.719999991</v>
      </c>
    </row>
    <row r="35" spans="1:15" x14ac:dyDescent="0.2">
      <c r="A35" s="31">
        <v>45078</v>
      </c>
      <c r="B35" s="32">
        <v>13902443.229999999</v>
      </c>
      <c r="C35" s="32">
        <v>14418099.41</v>
      </c>
      <c r="D35" s="32">
        <v>7658260.5199999996</v>
      </c>
      <c r="E35" s="32">
        <v>7518051.669999999</v>
      </c>
      <c r="F35" s="32">
        <v>29611002.879999999</v>
      </c>
      <c r="G35" s="32">
        <v>33579325.240000002</v>
      </c>
      <c r="H35" s="32">
        <v>31831.89</v>
      </c>
      <c r="I35" s="32">
        <v>35155.35</v>
      </c>
      <c r="J35" s="32">
        <v>2781035.89</v>
      </c>
      <c r="K35" s="32">
        <v>3316888.63</v>
      </c>
      <c r="L35" s="32">
        <v>1830762.83</v>
      </c>
      <c r="M35" s="32">
        <v>2273429.21</v>
      </c>
      <c r="N35" s="94">
        <f t="shared" si="2"/>
        <v>55815337.239999995</v>
      </c>
      <c r="O35" s="95">
        <f t="shared" si="2"/>
        <v>61140949.510000005</v>
      </c>
    </row>
    <row r="36" spans="1:15" ht="16" thickBot="1" x14ac:dyDescent="0.25">
      <c r="A36" s="34" t="s">
        <v>38</v>
      </c>
      <c r="B36" s="41">
        <f t="shared" ref="B36:M36" si="3">SUM(B24:B35)</f>
        <v>161173774.63</v>
      </c>
      <c r="C36" s="41">
        <f t="shared" si="3"/>
        <v>166406066.18000001</v>
      </c>
      <c r="D36" s="41">
        <f t="shared" si="3"/>
        <v>83494736.980000004</v>
      </c>
      <c r="E36" s="41">
        <f t="shared" si="3"/>
        <v>75175529.410000011</v>
      </c>
      <c r="F36" s="41">
        <f t="shared" si="3"/>
        <v>353911317.00999999</v>
      </c>
      <c r="G36" s="41">
        <f t="shared" si="3"/>
        <v>408889161.75999993</v>
      </c>
      <c r="H36" s="41">
        <f t="shared" si="3"/>
        <v>461751.36</v>
      </c>
      <c r="I36" s="41">
        <f t="shared" si="3"/>
        <v>379479.76999999996</v>
      </c>
      <c r="J36" s="41">
        <f t="shared" si="3"/>
        <v>32732688.119999994</v>
      </c>
      <c r="K36" s="41">
        <f t="shared" si="3"/>
        <v>77165758.920000002</v>
      </c>
      <c r="L36" s="41">
        <f t="shared" si="3"/>
        <v>24911768.970000006</v>
      </c>
      <c r="M36" s="41">
        <f t="shared" si="3"/>
        <v>36877171.450000003</v>
      </c>
      <c r="N36" s="96">
        <f t="shared" si="2"/>
        <v>656686037.07000005</v>
      </c>
      <c r="O36" s="97">
        <f t="shared" si="2"/>
        <v>764893167.48999989</v>
      </c>
    </row>
  </sheetData>
  <mergeCells count="15">
    <mergeCell ref="A1:M1"/>
    <mergeCell ref="B2:C2"/>
    <mergeCell ref="D2:E2"/>
    <mergeCell ref="F2:G2"/>
    <mergeCell ref="H2:I2"/>
    <mergeCell ref="J2:K2"/>
    <mergeCell ref="L2:M2"/>
    <mergeCell ref="A21:O21"/>
    <mergeCell ref="B22:C22"/>
    <mergeCell ref="D22:E22"/>
    <mergeCell ref="F22:G22"/>
    <mergeCell ref="H22:I22"/>
    <mergeCell ref="J22:K22"/>
    <mergeCell ref="L22:M22"/>
    <mergeCell ref="N22:O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ADF4-0BC7-4EBE-AD34-3DB61CF37F38}">
  <dimension ref="A2:H6"/>
  <sheetViews>
    <sheetView workbookViewId="0">
      <selection activeCell="H6" sqref="H6"/>
    </sheetView>
  </sheetViews>
  <sheetFormatPr baseColWidth="10" defaultColWidth="8.83203125" defaultRowHeight="15" x14ac:dyDescent="0.2"/>
  <cols>
    <col min="3" max="3" width="15" bestFit="1" customWidth="1"/>
  </cols>
  <sheetData>
    <row r="2" spans="1:8" x14ac:dyDescent="0.2">
      <c r="A2" s="48" t="s">
        <v>11</v>
      </c>
      <c r="B2" s="48" t="s">
        <v>52</v>
      </c>
      <c r="C2" s="48" t="s">
        <v>53</v>
      </c>
      <c r="D2" s="48" t="s">
        <v>54</v>
      </c>
      <c r="E2" s="48" t="s">
        <v>55</v>
      </c>
      <c r="F2" s="48" t="s">
        <v>56</v>
      </c>
      <c r="G2" s="48" t="s">
        <v>57</v>
      </c>
      <c r="H2" s="48" t="s">
        <v>58</v>
      </c>
    </row>
    <row r="3" spans="1:8" x14ac:dyDescent="0.2">
      <c r="A3" s="49" t="s">
        <v>59</v>
      </c>
      <c r="B3" s="1">
        <v>86</v>
      </c>
      <c r="C3" s="1">
        <v>124</v>
      </c>
      <c r="D3" s="1">
        <v>238</v>
      </c>
      <c r="E3" s="1">
        <v>383</v>
      </c>
      <c r="F3" s="1">
        <v>744</v>
      </c>
      <c r="G3" s="1">
        <v>365</v>
      </c>
      <c r="H3" s="1">
        <v>1940</v>
      </c>
    </row>
    <row r="4" spans="1:8" x14ac:dyDescent="0.2">
      <c r="A4" s="49" t="s">
        <v>60</v>
      </c>
      <c r="B4" s="1">
        <v>36</v>
      </c>
      <c r="C4" s="1">
        <v>72</v>
      </c>
      <c r="D4" s="1">
        <v>226</v>
      </c>
      <c r="E4" s="1">
        <v>522</v>
      </c>
      <c r="F4" s="1">
        <v>684</v>
      </c>
      <c r="G4" s="1">
        <v>388</v>
      </c>
      <c r="H4" s="1">
        <v>1928</v>
      </c>
    </row>
    <row r="5" spans="1:8" x14ac:dyDescent="0.2">
      <c r="A5" s="49" t="s">
        <v>61</v>
      </c>
      <c r="B5" s="1">
        <v>97</v>
      </c>
      <c r="C5" s="1">
        <v>140</v>
      </c>
      <c r="D5" s="1">
        <v>226</v>
      </c>
      <c r="E5" s="1">
        <v>480</v>
      </c>
      <c r="F5" s="1">
        <v>1048</v>
      </c>
      <c r="G5" s="1">
        <v>323</v>
      </c>
      <c r="H5" s="1">
        <v>2314</v>
      </c>
    </row>
    <row r="6" spans="1:8" x14ac:dyDescent="0.2">
      <c r="A6" s="50" t="s">
        <v>38</v>
      </c>
      <c r="B6" s="48">
        <v>219</v>
      </c>
      <c r="C6" s="48">
        <v>336</v>
      </c>
      <c r="D6" s="48">
        <v>690</v>
      </c>
      <c r="E6" s="48">
        <v>1385</v>
      </c>
      <c r="F6" s="48">
        <v>2476</v>
      </c>
      <c r="G6" s="48">
        <v>1076</v>
      </c>
      <c r="H6" s="48">
        <v>6182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F2C9-60BB-4828-AACB-E486B3A0647D}">
  <dimension ref="A1:A9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39.1640625" bestFit="1" customWidth="1"/>
    <col min="9" max="9" width="12.83203125" customWidth="1"/>
    <col min="11" max="11" width="9.83203125" bestFit="1" customWidth="1"/>
  </cols>
  <sheetData>
    <row r="1" spans="1:1" x14ac:dyDescent="0.2">
      <c r="A1" s="77" t="s">
        <v>37</v>
      </c>
    </row>
    <row r="2" spans="1:1" x14ac:dyDescent="0.2">
      <c r="A2" s="67" t="s">
        <v>66</v>
      </c>
    </row>
    <row r="3" spans="1:1" x14ac:dyDescent="0.2">
      <c r="A3" s="67" t="s">
        <v>67</v>
      </c>
    </row>
    <row r="4" spans="1:1" x14ac:dyDescent="0.2">
      <c r="A4" s="67" t="s">
        <v>91</v>
      </c>
    </row>
    <row r="6" spans="1:1" x14ac:dyDescent="0.2">
      <c r="A6" s="77" t="s">
        <v>36</v>
      </c>
    </row>
    <row r="7" spans="1:1" x14ac:dyDescent="0.2">
      <c r="A7" s="67" t="s">
        <v>92</v>
      </c>
    </row>
    <row r="8" spans="1:1" x14ac:dyDescent="0.2">
      <c r="A8" s="67" t="s">
        <v>93</v>
      </c>
    </row>
    <row r="9" spans="1:1" x14ac:dyDescent="0.2">
      <c r="A9" s="67" t="s">
        <v>94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4926-1F4D-4BE6-927E-F687F7145AE2}">
  <dimension ref="A1:G12"/>
  <sheetViews>
    <sheetView workbookViewId="0">
      <selection activeCell="J16" sqref="J16"/>
    </sheetView>
  </sheetViews>
  <sheetFormatPr baseColWidth="10" defaultColWidth="8.83203125" defaultRowHeight="15" x14ac:dyDescent="0.2"/>
  <cols>
    <col min="2" max="2" width="11" bestFit="1" customWidth="1"/>
    <col min="5" max="5" width="11" bestFit="1" customWidth="1"/>
    <col min="7" max="7" width="11" bestFit="1" customWidth="1"/>
  </cols>
  <sheetData>
    <row r="1" spans="1:7" x14ac:dyDescent="0.2">
      <c r="A1" s="1"/>
      <c r="B1" s="189" t="s">
        <v>68</v>
      </c>
      <c r="C1" s="189"/>
      <c r="D1" s="189" t="s">
        <v>69</v>
      </c>
      <c r="E1" s="189"/>
      <c r="F1" s="189" t="s">
        <v>70</v>
      </c>
      <c r="G1" s="189"/>
    </row>
    <row r="2" spans="1:7" x14ac:dyDescent="0.2">
      <c r="A2" s="72"/>
      <c r="B2" s="73" t="s">
        <v>71</v>
      </c>
      <c r="C2" s="73" t="s">
        <v>72</v>
      </c>
      <c r="D2" s="73" t="s">
        <v>71</v>
      </c>
      <c r="E2" s="73" t="s">
        <v>72</v>
      </c>
      <c r="F2" s="73" t="s">
        <v>71</v>
      </c>
      <c r="G2" s="73" t="s">
        <v>72</v>
      </c>
    </row>
    <row r="3" spans="1:7" x14ac:dyDescent="0.2">
      <c r="A3" s="74" t="s">
        <v>73</v>
      </c>
      <c r="B3" s="75" t="s">
        <v>74</v>
      </c>
      <c r="C3" s="75" t="s">
        <v>75</v>
      </c>
      <c r="D3" s="75" t="s">
        <v>74</v>
      </c>
      <c r="E3" s="75" t="s">
        <v>75</v>
      </c>
      <c r="F3" s="75" t="s">
        <v>74</v>
      </c>
      <c r="G3" s="75" t="s">
        <v>75</v>
      </c>
    </row>
    <row r="4" spans="1:7" x14ac:dyDescent="0.2">
      <c r="A4" s="76" t="s">
        <v>55</v>
      </c>
      <c r="B4" s="20">
        <v>15250728</v>
      </c>
      <c r="C4" s="20">
        <v>106025.27642646001</v>
      </c>
      <c r="D4" s="20">
        <v>655</v>
      </c>
      <c r="E4" s="20">
        <v>2.4052483100000002</v>
      </c>
      <c r="F4" s="20">
        <v>17</v>
      </c>
      <c r="G4" s="20">
        <v>9.1196689999999997E-2</v>
      </c>
    </row>
    <row r="5" spans="1:7" x14ac:dyDescent="0.2">
      <c r="A5" s="76" t="s">
        <v>56</v>
      </c>
      <c r="B5" s="20">
        <v>17327278</v>
      </c>
      <c r="C5" s="20">
        <v>165866.86454425001</v>
      </c>
      <c r="D5" s="20">
        <v>3823</v>
      </c>
      <c r="E5" s="20">
        <v>24.3365291</v>
      </c>
      <c r="F5" s="20">
        <v>1931</v>
      </c>
      <c r="G5" s="20">
        <v>12.56200748</v>
      </c>
    </row>
    <row r="6" spans="1:7" x14ac:dyDescent="0.2">
      <c r="A6" s="76" t="s">
        <v>76</v>
      </c>
      <c r="B6" s="20">
        <v>16615110</v>
      </c>
      <c r="C6" s="20">
        <v>172151.92932766001</v>
      </c>
      <c r="D6" s="20">
        <v>11826</v>
      </c>
      <c r="E6" s="20">
        <v>54.005633850000002</v>
      </c>
      <c r="F6" s="20">
        <v>5782</v>
      </c>
      <c r="G6" s="20">
        <v>39.386922149999997</v>
      </c>
    </row>
    <row r="8" spans="1:7" x14ac:dyDescent="0.2">
      <c r="A8" t="s">
        <v>77</v>
      </c>
    </row>
    <row r="9" spans="1:7" x14ac:dyDescent="0.2">
      <c r="B9" s="20">
        <v>16615110</v>
      </c>
      <c r="E9" s="20">
        <v>17327278</v>
      </c>
      <c r="G9" s="20">
        <v>15250728</v>
      </c>
    </row>
    <row r="10" spans="1:7" x14ac:dyDescent="0.2">
      <c r="B10" s="20">
        <v>11826</v>
      </c>
      <c r="E10" s="20">
        <v>3823</v>
      </c>
      <c r="G10" s="20">
        <v>655</v>
      </c>
    </row>
    <row r="11" spans="1:7" x14ac:dyDescent="0.2">
      <c r="B11" s="20">
        <v>5782</v>
      </c>
      <c r="E11" s="20">
        <v>1931</v>
      </c>
      <c r="G11" s="20">
        <v>17</v>
      </c>
    </row>
    <row r="12" spans="1:7" x14ac:dyDescent="0.2">
      <c r="A12" s="77" t="s">
        <v>78</v>
      </c>
      <c r="B12" s="68">
        <f>SUM(B9:B11)</f>
        <v>16632718</v>
      </c>
      <c r="E12" s="68">
        <f>SUM(E9:E11)</f>
        <v>17333032</v>
      </c>
      <c r="G12" s="68">
        <f>SUM(G9:G11)</f>
        <v>15251400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89AD-34D1-4D0B-9F4D-73D5FAEE55A9}">
  <dimension ref="A1:I6"/>
  <sheetViews>
    <sheetView workbookViewId="0">
      <selection activeCell="H6" sqref="H6:I6"/>
    </sheetView>
  </sheetViews>
  <sheetFormatPr baseColWidth="10" defaultColWidth="8.83203125" defaultRowHeight="15" x14ac:dyDescent="0.2"/>
  <cols>
    <col min="2" max="2" width="17.33203125" bestFit="1" customWidth="1"/>
    <col min="3" max="3" width="10.1640625" bestFit="1" customWidth="1"/>
    <col min="4" max="4" width="11.83203125" customWidth="1"/>
    <col min="9" max="9" width="12.33203125" customWidth="1"/>
  </cols>
  <sheetData>
    <row r="1" spans="1:9" x14ac:dyDescent="0.2">
      <c r="A1" s="190" t="s">
        <v>55</v>
      </c>
      <c r="B1" s="190"/>
      <c r="C1" s="190"/>
      <c r="D1" s="190"/>
      <c r="F1" s="190" t="s">
        <v>56</v>
      </c>
      <c r="G1" s="190"/>
      <c r="H1" s="190"/>
      <c r="I1" s="190"/>
    </row>
    <row r="2" spans="1:9" x14ac:dyDescent="0.2">
      <c r="A2" s="81" t="s">
        <v>79</v>
      </c>
      <c r="B2" s="82" t="s">
        <v>80</v>
      </c>
      <c r="C2" s="82" t="s">
        <v>81</v>
      </c>
      <c r="D2" s="82" t="s">
        <v>82</v>
      </c>
      <c r="F2" s="81" t="s">
        <v>79</v>
      </c>
      <c r="G2" s="82" t="s">
        <v>80</v>
      </c>
      <c r="H2" s="82" t="s">
        <v>81</v>
      </c>
      <c r="I2" s="82" t="s">
        <v>82</v>
      </c>
    </row>
    <row r="3" spans="1:9" x14ac:dyDescent="0.2">
      <c r="A3" s="83" t="s">
        <v>14</v>
      </c>
      <c r="B3" s="71">
        <v>304</v>
      </c>
      <c r="C3" s="71">
        <v>117</v>
      </c>
      <c r="D3" s="71">
        <v>210</v>
      </c>
      <c r="F3" s="83" t="s">
        <v>14</v>
      </c>
      <c r="G3" s="71">
        <v>250</v>
      </c>
      <c r="H3" s="71">
        <v>135</v>
      </c>
      <c r="I3" s="71">
        <v>341</v>
      </c>
    </row>
    <row r="4" spans="1:9" x14ac:dyDescent="0.2">
      <c r="A4" s="83" t="s">
        <v>12</v>
      </c>
      <c r="B4" s="71">
        <v>650</v>
      </c>
      <c r="C4" s="71">
        <v>129</v>
      </c>
      <c r="D4" s="71">
        <v>391</v>
      </c>
      <c r="F4" s="83" t="s">
        <v>12</v>
      </c>
      <c r="G4" s="71">
        <v>465</v>
      </c>
      <c r="H4" s="71">
        <v>156</v>
      </c>
      <c r="I4" s="71">
        <v>723</v>
      </c>
    </row>
    <row r="5" spans="1:9" x14ac:dyDescent="0.2">
      <c r="A5" s="83" t="s">
        <v>13</v>
      </c>
      <c r="B5" s="71">
        <v>245</v>
      </c>
      <c r="C5" s="71">
        <v>44</v>
      </c>
      <c r="D5" s="71">
        <v>150</v>
      </c>
      <c r="F5" s="83" t="s">
        <v>13</v>
      </c>
      <c r="G5" s="71">
        <v>180</v>
      </c>
      <c r="H5" s="71">
        <v>85</v>
      </c>
      <c r="I5" s="71">
        <v>240</v>
      </c>
    </row>
    <row r="6" spans="1:9" x14ac:dyDescent="0.2">
      <c r="A6" s="76" t="s">
        <v>78</v>
      </c>
      <c r="B6" s="84">
        <f>SUM(B3:B5)</f>
        <v>1199</v>
      </c>
      <c r="C6" s="84">
        <f>SUM(C3:C5)</f>
        <v>290</v>
      </c>
      <c r="D6" s="84">
        <f>SUM(D3:D5)</f>
        <v>751</v>
      </c>
      <c r="F6" s="76" t="s">
        <v>78</v>
      </c>
      <c r="G6" s="84">
        <f>SUM(G3:G5)</f>
        <v>895</v>
      </c>
      <c r="H6" s="84">
        <f>SUM(H3:H5)</f>
        <v>376</v>
      </c>
      <c r="I6" s="84">
        <f>SUM(I3:I5)</f>
        <v>1304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488B-44B3-4B35-88ED-EB090F455049}">
  <dimension ref="A1:B24"/>
  <sheetViews>
    <sheetView workbookViewId="0">
      <selection activeCell="D23" sqref="D23"/>
    </sheetView>
  </sheetViews>
  <sheetFormatPr baseColWidth="10" defaultColWidth="8.83203125" defaultRowHeight="15" x14ac:dyDescent="0.2"/>
  <cols>
    <col min="2" max="2" width="32.83203125" customWidth="1"/>
  </cols>
  <sheetData>
    <row r="1" spans="1:2" x14ac:dyDescent="0.2">
      <c r="B1" s="77" t="s">
        <v>7</v>
      </c>
    </row>
    <row r="3" spans="1:2" x14ac:dyDescent="0.2">
      <c r="A3" s="2" t="s">
        <v>11</v>
      </c>
      <c r="B3" s="2" t="s">
        <v>84</v>
      </c>
    </row>
    <row r="4" spans="1:2" x14ac:dyDescent="0.2">
      <c r="A4" s="1" t="s">
        <v>12</v>
      </c>
      <c r="B4" s="1">
        <v>711</v>
      </c>
    </row>
    <row r="5" spans="1:2" x14ac:dyDescent="0.2">
      <c r="A5" s="1" t="s">
        <v>13</v>
      </c>
      <c r="B5" s="1">
        <v>397</v>
      </c>
    </row>
    <row r="6" spans="1:2" x14ac:dyDescent="0.2">
      <c r="A6" s="1" t="s">
        <v>14</v>
      </c>
      <c r="B6" s="1">
        <v>360</v>
      </c>
    </row>
    <row r="7" spans="1:2" x14ac:dyDescent="0.2">
      <c r="A7" s="89" t="s">
        <v>78</v>
      </c>
      <c r="B7" s="90">
        <f>SUM(B4:B6)</f>
        <v>1468</v>
      </c>
    </row>
    <row r="11" spans="1:2" x14ac:dyDescent="0.2">
      <c r="B11" s="77" t="s">
        <v>6</v>
      </c>
    </row>
    <row r="12" spans="1:2" x14ac:dyDescent="0.2">
      <c r="A12" s="2" t="s">
        <v>11</v>
      </c>
      <c r="B12" s="2" t="s">
        <v>84</v>
      </c>
    </row>
    <row r="13" spans="1:2" x14ac:dyDescent="0.2">
      <c r="A13" s="1" t="s">
        <v>12</v>
      </c>
      <c r="B13" s="1">
        <v>800</v>
      </c>
    </row>
    <row r="14" spans="1:2" x14ac:dyDescent="0.2">
      <c r="A14" s="1" t="s">
        <v>13</v>
      </c>
      <c r="B14" s="1">
        <v>447</v>
      </c>
    </row>
    <row r="15" spans="1:2" x14ac:dyDescent="0.2">
      <c r="A15" s="1" t="s">
        <v>14</v>
      </c>
      <c r="B15" s="1">
        <v>425</v>
      </c>
    </row>
    <row r="16" spans="1:2" x14ac:dyDescent="0.2">
      <c r="A16" t="s">
        <v>78</v>
      </c>
      <c r="B16">
        <f>SUM(B13:B15)</f>
        <v>1672</v>
      </c>
    </row>
    <row r="19" spans="1:2" x14ac:dyDescent="0.2">
      <c r="B19" t="s">
        <v>51</v>
      </c>
    </row>
    <row r="20" spans="1:2" x14ac:dyDescent="0.2">
      <c r="A20" s="2" t="s">
        <v>79</v>
      </c>
      <c r="B20" s="2" t="s">
        <v>84</v>
      </c>
    </row>
    <row r="21" spans="1:2" x14ac:dyDescent="0.2">
      <c r="A21" s="1" t="s">
        <v>12</v>
      </c>
      <c r="B21" s="1">
        <v>718</v>
      </c>
    </row>
    <row r="22" spans="1:2" x14ac:dyDescent="0.2">
      <c r="A22" s="1" t="s">
        <v>13</v>
      </c>
      <c r="B22" s="1">
        <v>399</v>
      </c>
    </row>
    <row r="23" spans="1:2" x14ac:dyDescent="0.2">
      <c r="A23" s="1" t="s">
        <v>14</v>
      </c>
      <c r="B23" s="1">
        <v>402</v>
      </c>
    </row>
    <row r="24" spans="1:2" x14ac:dyDescent="0.2">
      <c r="A24" s="91" t="s">
        <v>38</v>
      </c>
      <c r="B24" s="92">
        <v>1519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D91C-76DB-44C4-9761-CBACD241666C}">
  <dimension ref="A3:M19"/>
  <sheetViews>
    <sheetView workbookViewId="0">
      <selection activeCell="M12" sqref="M12"/>
    </sheetView>
  </sheetViews>
  <sheetFormatPr baseColWidth="10" defaultColWidth="8.83203125" defaultRowHeight="15" x14ac:dyDescent="0.2"/>
  <cols>
    <col min="13" max="13" width="30.1640625" customWidth="1"/>
  </cols>
  <sheetData>
    <row r="3" spans="1:13" ht="21" x14ac:dyDescent="0.2">
      <c r="A3" s="191" t="s">
        <v>86</v>
      </c>
      <c r="B3" s="191"/>
      <c r="C3" s="191"/>
      <c r="D3" s="191"/>
      <c r="G3" s="191" t="s">
        <v>87</v>
      </c>
      <c r="H3" s="191"/>
      <c r="I3" s="191"/>
      <c r="J3" s="191"/>
    </row>
    <row r="4" spans="1:13" x14ac:dyDescent="0.2">
      <c r="A4" s="1" t="s">
        <v>30</v>
      </c>
      <c r="B4" s="1" t="s">
        <v>88</v>
      </c>
      <c r="C4" s="1" t="s">
        <v>89</v>
      </c>
      <c r="D4" s="1" t="s">
        <v>90</v>
      </c>
      <c r="G4" s="1" t="s">
        <v>30</v>
      </c>
      <c r="H4" s="1" t="s">
        <v>88</v>
      </c>
      <c r="I4" s="1" t="s">
        <v>89</v>
      </c>
      <c r="J4" s="1" t="s">
        <v>90</v>
      </c>
    </row>
    <row r="5" spans="1:13" x14ac:dyDescent="0.2">
      <c r="A5" s="99">
        <v>44958</v>
      </c>
      <c r="B5" s="100">
        <v>1074</v>
      </c>
      <c r="C5" s="1"/>
      <c r="D5" s="1"/>
      <c r="G5" s="99">
        <v>44958</v>
      </c>
      <c r="H5" s="1"/>
      <c r="I5" s="1"/>
      <c r="J5" s="1"/>
    </row>
    <row r="6" spans="1:13" x14ac:dyDescent="0.2">
      <c r="A6" s="99">
        <v>44986</v>
      </c>
      <c r="B6" s="100">
        <v>2165</v>
      </c>
      <c r="C6" s="1"/>
      <c r="D6" s="1"/>
      <c r="G6" s="99">
        <v>44986</v>
      </c>
      <c r="H6" s="1"/>
      <c r="I6" s="1"/>
      <c r="J6" s="1"/>
    </row>
    <row r="7" spans="1:13" x14ac:dyDescent="0.2">
      <c r="A7" s="99">
        <v>45017</v>
      </c>
      <c r="B7" s="100">
        <v>2662</v>
      </c>
      <c r="C7" s="1">
        <v>21</v>
      </c>
      <c r="D7" s="1">
        <v>31</v>
      </c>
      <c r="G7" s="99">
        <v>45017</v>
      </c>
      <c r="H7" s="1"/>
      <c r="I7" s="1"/>
      <c r="J7" s="1"/>
    </row>
    <row r="8" spans="1:13" x14ac:dyDescent="0.2">
      <c r="A8" s="99">
        <v>45047</v>
      </c>
      <c r="B8" s="100">
        <v>3170</v>
      </c>
      <c r="C8" s="1">
        <v>16</v>
      </c>
      <c r="D8" s="1">
        <v>21</v>
      </c>
      <c r="G8" s="99">
        <v>45047</v>
      </c>
      <c r="H8" s="1"/>
      <c r="I8" s="1"/>
      <c r="J8" s="1"/>
    </row>
    <row r="9" spans="1:13" x14ac:dyDescent="0.2">
      <c r="A9" s="99">
        <v>45078</v>
      </c>
      <c r="B9" s="100">
        <v>3423</v>
      </c>
      <c r="C9" s="1">
        <v>22</v>
      </c>
      <c r="D9" s="1">
        <v>28</v>
      </c>
      <c r="G9" s="99">
        <v>45078</v>
      </c>
      <c r="H9" s="1"/>
      <c r="I9" s="1"/>
      <c r="J9" s="1"/>
    </row>
    <row r="10" spans="1:13" x14ac:dyDescent="0.2">
      <c r="A10" s="99">
        <v>45108</v>
      </c>
      <c r="B10" s="101">
        <v>3448</v>
      </c>
      <c r="C10" s="1">
        <v>359</v>
      </c>
      <c r="D10" s="1">
        <v>571</v>
      </c>
      <c r="G10" s="99">
        <v>45108</v>
      </c>
      <c r="H10" s="100">
        <v>623</v>
      </c>
      <c r="I10" s="100">
        <v>290</v>
      </c>
      <c r="J10" s="100">
        <v>432</v>
      </c>
    </row>
    <row r="11" spans="1:13" x14ac:dyDescent="0.2">
      <c r="A11" s="99">
        <v>45139</v>
      </c>
      <c r="B11" s="101">
        <v>3079</v>
      </c>
      <c r="C11" s="1">
        <v>370</v>
      </c>
      <c r="D11" s="1">
        <v>585</v>
      </c>
      <c r="G11" s="99">
        <v>45139</v>
      </c>
      <c r="H11" s="100">
        <v>2013</v>
      </c>
      <c r="I11" s="100">
        <v>405</v>
      </c>
      <c r="J11" s="100">
        <v>417</v>
      </c>
    </row>
    <row r="12" spans="1:13" x14ac:dyDescent="0.2">
      <c r="A12" s="99">
        <v>45170</v>
      </c>
      <c r="B12" s="101">
        <v>2938</v>
      </c>
      <c r="C12" s="1">
        <v>378</v>
      </c>
      <c r="D12" s="1">
        <v>598</v>
      </c>
      <c r="G12" s="99">
        <v>45170</v>
      </c>
      <c r="H12" s="100">
        <v>2525</v>
      </c>
      <c r="I12" s="100">
        <v>409</v>
      </c>
      <c r="J12" s="100">
        <v>660</v>
      </c>
      <c r="M12" t="s">
        <v>95</v>
      </c>
    </row>
    <row r="13" spans="1:13" x14ac:dyDescent="0.2">
      <c r="A13" s="99">
        <v>45200</v>
      </c>
      <c r="B13" s="101">
        <v>3048</v>
      </c>
      <c r="C13" s="1">
        <v>370</v>
      </c>
      <c r="D13" s="1">
        <v>587</v>
      </c>
      <c r="G13" s="99">
        <v>45200</v>
      </c>
      <c r="H13" s="100">
        <v>3034</v>
      </c>
      <c r="I13" s="100">
        <v>400</v>
      </c>
      <c r="J13" s="100">
        <v>646</v>
      </c>
    </row>
    <row r="14" spans="1:13" x14ac:dyDescent="0.2">
      <c r="A14" s="99">
        <v>45231</v>
      </c>
      <c r="B14" s="101">
        <v>2999</v>
      </c>
      <c r="C14" s="1">
        <v>385</v>
      </c>
      <c r="D14" s="1">
        <v>617</v>
      </c>
      <c r="G14" s="99">
        <v>45231</v>
      </c>
      <c r="H14" s="100">
        <v>2538</v>
      </c>
      <c r="I14" s="100">
        <v>391</v>
      </c>
      <c r="J14" s="100">
        <v>641</v>
      </c>
    </row>
    <row r="15" spans="1:13" x14ac:dyDescent="0.2">
      <c r="A15" s="99">
        <v>45261</v>
      </c>
      <c r="B15" s="101">
        <v>3230</v>
      </c>
      <c r="C15" s="1">
        <v>397</v>
      </c>
      <c r="D15" s="1">
        <v>656</v>
      </c>
      <c r="G15" s="99">
        <v>45261</v>
      </c>
      <c r="H15" s="100">
        <v>2625</v>
      </c>
      <c r="I15" s="100">
        <v>389</v>
      </c>
      <c r="J15" s="100">
        <v>642</v>
      </c>
    </row>
    <row r="16" spans="1:13" x14ac:dyDescent="0.2">
      <c r="A16" s="99">
        <v>45292</v>
      </c>
      <c r="B16" s="101">
        <v>3287</v>
      </c>
      <c r="C16" s="100">
        <v>406</v>
      </c>
      <c r="D16" s="100">
        <v>682</v>
      </c>
      <c r="G16" s="99">
        <v>45292</v>
      </c>
      <c r="H16" s="100">
        <v>2545</v>
      </c>
      <c r="I16" s="100">
        <v>408</v>
      </c>
      <c r="J16" s="100">
        <v>648</v>
      </c>
    </row>
    <row r="17" spans="1:11" x14ac:dyDescent="0.2">
      <c r="A17" s="99">
        <v>45323</v>
      </c>
      <c r="B17" s="101">
        <v>3065</v>
      </c>
      <c r="C17" s="100">
        <v>413</v>
      </c>
      <c r="D17" s="100">
        <v>688</v>
      </c>
      <c r="G17" s="99">
        <v>45323</v>
      </c>
      <c r="H17" s="100">
        <v>2686</v>
      </c>
      <c r="I17" s="100">
        <v>413</v>
      </c>
      <c r="J17" s="100">
        <v>661</v>
      </c>
    </row>
    <row r="18" spans="1:11" x14ac:dyDescent="0.2">
      <c r="A18" s="99">
        <v>45352</v>
      </c>
      <c r="B18" s="101">
        <v>3490</v>
      </c>
      <c r="C18" s="100">
        <v>418</v>
      </c>
      <c r="D18" s="100">
        <v>673</v>
      </c>
      <c r="G18" s="99">
        <v>45352</v>
      </c>
      <c r="H18" s="100">
        <v>2803</v>
      </c>
      <c r="I18" s="100">
        <v>413</v>
      </c>
      <c r="J18" s="100">
        <v>667</v>
      </c>
    </row>
    <row r="19" spans="1:11" x14ac:dyDescent="0.2">
      <c r="B19" s="13">
        <v>28584</v>
      </c>
      <c r="H19" s="13">
        <f>SUM(H10:H18)</f>
        <v>21392</v>
      </c>
      <c r="K19" s="13">
        <f>B19+H19</f>
        <v>49976</v>
      </c>
    </row>
  </sheetData>
  <mergeCells count="2">
    <mergeCell ref="A3:D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sales ltr and Rs</vt:lpstr>
      <vt:lpstr>Receivables</vt:lpstr>
      <vt:lpstr>Gross Earnings</vt:lpstr>
      <vt:lpstr>Volumetric Sale</vt:lpstr>
      <vt:lpstr>fuellink portal user</vt:lpstr>
      <vt:lpstr>No. of New Account</vt:lpstr>
      <vt:lpstr>Transactions</vt:lpstr>
      <vt:lpstr>Smart POS</vt:lpstr>
      <vt:lpstr>Merchant </vt:lpstr>
      <vt:lpstr>bank cards sale</vt:lpstr>
    </vt:vector>
  </TitlesOfParts>
  <Company>Pakistan State Oil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Ekta.Eshwar@psopk.com</dc:creator>
  <cp:lastModifiedBy>Microsoft Office User</cp:lastModifiedBy>
  <dcterms:created xsi:type="dcterms:W3CDTF">2024-06-05T07:18:13Z</dcterms:created>
  <dcterms:modified xsi:type="dcterms:W3CDTF">2024-06-11T15:17:43Z</dcterms:modified>
</cp:coreProperties>
</file>